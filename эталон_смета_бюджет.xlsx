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тавки_персонала_01" sheetId="1" state="visible" r:id="rId3"/>
    <sheet name="Смета_20типов_04" sheetId="2" state="visible" r:id="rId4"/>
    <sheet name="Бюджет_20типов_05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<sst xmlns="http://schemas.openxmlformats.org/spreadsheetml/2006/main" count="173" uniqueCount="104">
  <si>
    <t xml:space="preserve">ЭТАЛОН — БЛОК 01: СТАВКИ ПЕРСОНАЛА ФИРМЫ-ИСПОЛНИТЕЛЯ</t>
  </si>
  <si>
    <t xml:space="preserve">Используется для расчёта трудозатрат в Смете (блок 04) и Бюджете (блок 05). Синим — вводимые ставки (можно скорректировать под свой регион).</t>
  </si>
  <si>
    <t xml:space="preserve">Роль</t>
  </si>
  <si>
    <t xml:space="preserve">Ставка, ₽/час</t>
  </si>
  <si>
    <t xml:space="preserve">Ставка, ₽/день (=час×8)</t>
  </si>
  <si>
    <t xml:space="preserve">Портфель, где преимущественно занят</t>
  </si>
  <si>
    <t xml:space="preserve">Источник / примечание</t>
  </si>
  <si>
    <t xml:space="preserve">Руководитель проекта</t>
  </si>
  <si>
    <t xml:space="preserve">I / II / III</t>
  </si>
  <si>
    <t xml:space="preserve">оценка на основе вилки руководителей ИБ-проектов интеграторов, 2026</t>
  </si>
  <si>
    <t xml:space="preserve">Инженер проекта</t>
  </si>
  <si>
    <t xml:space="preserve">I</t>
  </si>
  <si>
    <t xml:space="preserve">ГородРабот.ру: инженер по видеонаблюдению, средняя ЗП ~140000 ₽/мес ÷ 168 ч ≈ 833 ₽/час, 2026</t>
  </si>
  <si>
    <t xml:space="preserve">Проектировщик</t>
  </si>
  <si>
    <t xml:space="preserve">оценка по аналогии со ставкой инженера проекта, ниже на разряд</t>
  </si>
  <si>
    <t xml:space="preserve">Монтажник</t>
  </si>
  <si>
    <t xml:space="preserve">hh.ru/ГородРабот.ру: монтажник систем безопасности 76200-111800 ₽/мес (РФ/Москва) ÷ 168 ч ≈ 454-665 ₽/час, среднее, 2026</t>
  </si>
  <si>
    <t xml:space="preserve">Мастер (бригадир монтажа)</t>
  </si>
  <si>
    <t xml:space="preserve">оценка: монтажник + надбавка за руководство бригадой</t>
  </si>
  <si>
    <t xml:space="preserve">Зав. складом</t>
  </si>
  <si>
    <t xml:space="preserve">оценка по типовой ставке складского персонала интегратора</t>
  </si>
  <si>
    <t xml:space="preserve">Юрист-договорник</t>
  </si>
  <si>
    <t xml:space="preserve">оценка по рыночной ставке юриста на аутсорсе для сопровождения договоров подряда</t>
  </si>
  <si>
    <t xml:space="preserve">Инженер-интегратор ПО/ИБ</t>
  </si>
  <si>
    <t xml:space="preserve">II</t>
  </si>
  <si>
    <t xml:space="preserve">оценка на основе вилки инженеров SIEM/NGFW-интеграторов, вакансии 2026</t>
  </si>
  <si>
    <t xml:space="preserve">ИБ-аналитик / аудитор</t>
  </si>
  <si>
    <t xml:space="preserve">III</t>
  </si>
  <si>
    <t xml:space="preserve">оценка на основе вилки консультантов по аудиту ИБ (Информзащита, Positive Technologies), 2026</t>
  </si>
  <si>
    <t xml:space="preserve">Специалист по обучению персонала</t>
  </si>
  <si>
    <t xml:space="preserve">оценка по рыночной ставке тренера по security awareness</t>
  </si>
  <si>
    <t xml:space="preserve">ЭТАЛОН — БЛОК 04: СМЕТА ПРОЕКТА ИБ (20 ТИПОВ)</t>
  </si>
  <si>
    <t xml:space="preserve">Формула: Стоимость труда (трудозатраты × 8ч × ставка) + Материалы (Middle, из «Комплектующие_20типов») + Накладные % = Смета. Синим — вводимые значения. Трудозатраты портфеля I — суммы применимых задач листа «Гантт_ИТСО (6 типов)»; трудозатраты портфелей II и III — суммы применимых задач листа «Гантт_Софт_Орг (14 типов)» (исправлено: ранее стояли приближённые экспертные оценки без ссылки на фактические данные Ганта).</t>
  </si>
  <si>
    <t xml:space="preserve">Средняя ставка портфеля, ₽/час (ссылка на лист «Ставки_персонала_01»):</t>
  </si>
  <si>
    <t xml:space="preserve">Портфель I (ИТСО, монтаж) =</t>
  </si>
  <si>
    <t xml:space="preserve">Портфель II (программно-аппаратный) =</t>
  </si>
  <si>
    <t xml:space="preserve">Портфель III (организационно-административный) =</t>
  </si>
  <si>
    <t xml:space="preserve">№</t>
  </si>
  <si>
    <t xml:space="preserve">Код</t>
  </si>
  <si>
    <t xml:space="preserve">Тип проекта</t>
  </si>
  <si>
    <t xml:space="preserve">Портфель</t>
  </si>
  <si>
    <t xml:space="preserve">Трудозатраты,
чел-дни</t>
  </si>
  <si>
    <t xml:space="preserve">Ставка портфеля,
₽/час</t>
  </si>
  <si>
    <t xml:space="preserve">Стоимость труда, ₽
(=E×8×F)</t>
  </si>
  <si>
    <t xml:space="preserve">Материалы (Middle), ₽
источник: Комплектующие_20типов</t>
  </si>
  <si>
    <t xml:space="preserve">Накладные, %</t>
  </si>
  <si>
    <t xml:space="preserve">Накладные, ₽
(=(G+H)×I)</t>
  </si>
  <si>
    <t xml:space="preserve">ИТОГО СМЕТА, ₽
(=G+H+J)</t>
  </si>
  <si>
    <t xml:space="preserve">skud</t>
  </si>
  <si>
    <t xml:space="preserve">СКУД (система контроля и управления доступом)</t>
  </si>
  <si>
    <t xml:space="preserve">video</t>
  </si>
  <si>
    <t xml:space="preserve">СОТ (система видеонаблюдения)</t>
  </si>
  <si>
    <t xml:space="preserve">fire</t>
  </si>
  <si>
    <t xml:space="preserve">Пожарная сигнализация</t>
  </si>
  <si>
    <t xml:space="preserve">security</t>
  </si>
  <si>
    <t xml:space="preserve">Охранная сигнализация</t>
  </si>
  <si>
    <t xml:space="preserve">perimeter</t>
  </si>
  <si>
    <t xml:space="preserve">Периметральное ограждение и турникеты</t>
  </si>
  <si>
    <t xml:space="preserve">hybrid</t>
  </si>
  <si>
    <t xml:space="preserve">Комплексный проект ИТСО «под ключ»</t>
  </si>
  <si>
    <t xml:space="preserve">ngfw</t>
  </si>
  <si>
    <t xml:space="preserve">Межсетевой экран / NGFW</t>
  </si>
  <si>
    <t xml:space="preserve">dlp</t>
  </si>
  <si>
    <t xml:space="preserve">DLP-система</t>
  </si>
  <si>
    <t xml:space="preserve">iam</t>
  </si>
  <si>
    <t xml:space="preserve">IAM / MFA / SSO</t>
  </si>
  <si>
    <t xml:space="preserve">siem</t>
  </si>
  <si>
    <t xml:space="preserve">SIEM / SOC-мониторинг</t>
  </si>
  <si>
    <t xml:space="preserve">edr</t>
  </si>
  <si>
    <t xml:space="preserve">Антивирус корпоративного класса / EDR</t>
  </si>
  <si>
    <t xml:space="preserve">vpn</t>
  </si>
  <si>
    <t xml:space="preserve">VPN для защищённого удалённого доступа</t>
  </si>
  <si>
    <t xml:space="preserve">backup</t>
  </si>
  <si>
    <t xml:space="preserve">Резервное копирование и восстановление (Backup/DR)</t>
  </si>
  <si>
    <t xml:space="preserve">crypto</t>
  </si>
  <si>
    <t xml:space="preserve">Криптографическая защита каналов и данных (СКЗИ)</t>
  </si>
  <si>
    <t xml:space="preserve">policy</t>
  </si>
  <si>
    <t xml:space="preserve">Разработка политики и регламентов ИБ</t>
  </si>
  <si>
    <t xml:space="preserve">kii</t>
  </si>
  <si>
    <t xml:space="preserve">Категорирование объекта КИИ (187-ФЗ)</t>
  </si>
  <si>
    <t xml:space="preserve">pdn</t>
  </si>
  <si>
    <t xml:space="preserve">Приведение обработки ПДн в соответствие 152-ФЗ</t>
  </si>
  <si>
    <t xml:space="preserve">passport</t>
  </si>
  <si>
    <t xml:space="preserve">Паспорт безопасности / антитеррористическая защищённость</t>
  </si>
  <si>
    <t xml:space="preserve">audit</t>
  </si>
  <si>
    <t xml:space="preserve">Аудит / пентест информационной безопасности</t>
  </si>
  <si>
    <t xml:space="preserve">training</t>
  </si>
  <si>
    <t xml:space="preserve">Программа обучения персонала (security awareness)</t>
  </si>
  <si>
    <t xml:space="preserve">Итого по 20 типам:</t>
  </si>
  <si>
    <t xml:space="preserve">Примечание: трудозатраты по портфелю I взяты из суммы длительностей этапов листа «Гантт_ИТСО (6 типов)» (Спр_обучение_v1.xlsx); по портфелям II и III — экспертная оценка на основе типовых сроков внедрения аналогичных систем ИБ (2026). Накладные расходы 15% — типовая ставка по методике МДС 81-35.2004 (прямые затраты + накладные + плановая прибыль); преподаватель может скорректировать процент под конкретную фирму.</t>
  </si>
  <si>
    <t xml:space="preserve">ЭТАЛОН — БЛОК 05: БЮДЖЕТ ПРОЕКТА ИБ (time-фазированное распределение Сметы)</t>
  </si>
  <si>
    <t xml:space="preserve">Смета (блок 04) распределяется во времени по трём траншам согласно этапам приёмки Договора. Проценты — вводимые (синим), можно менять под конкретный договор.</t>
  </si>
  <si>
    <t xml:space="preserve">Доли траншей:</t>
  </si>
  <si>
    <t xml:space="preserve">Аванс при подписании Договора</t>
  </si>
  <si>
    <t xml:space="preserve">Промежуточный транш (по акту выполнения этапа монтажа/настройки)</t>
  </si>
  <si>
    <t xml:space="preserve">Окончательный расчёт (по акту КС-2/КС-3, сдача проекта)</t>
  </si>
  <si>
    <t xml:space="preserve">Контроль суммы долей (должно быть 100%):</t>
  </si>
  <si>
    <t xml:space="preserve">Смета (Итого), ₽
[ссылка на лист «Смета_20типов_04»]</t>
  </si>
  <si>
    <t xml:space="preserve">Аванс, ₽</t>
  </si>
  <si>
    <t xml:space="preserve">Промежуточный, ₽</t>
  </si>
  <si>
    <t xml:space="preserve">Окончательный, ₽</t>
  </si>
  <si>
    <t xml:space="preserve">Проверка (=E+F+G, должно = D)</t>
  </si>
  <si>
    <t xml:space="preserve">ИТОГО:</t>
  </si>
  <si>
    <t xml:space="preserve">Примечание: колонка «Проверка» должна давать 0 (или близко к 0 из-за округления) — если нет, доли траншей в B5:B7 не суммируются в 100% и требуют исправления. Расхождение между плановым Бюджетом и фактической потребностью в деньгах на конкретном этапе — это и есть «дефицит», разбираемый в блоке 07 диаграммы «Концепция...» части 2.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</si>
</sst>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&quot; ₽&quot;"/>
    <numFmt numFmtId="166" formatCode="0.0%"/>
    <numFmt numFmtId="167" formatCode="0.00&quot; ₽&quot;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20"/>
    <col collapsed="false" customWidth="true" hidden="false" outlineLevel="0" max="4" min="4" style="1" width="28"/>
    <col collapsed="false" customWidth="true" hidden="false" outlineLevel="0" max="5" min="5" style="1" width="60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</row>
    <row r="4" customFormat="false" ht="26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true" outlineLevel="0" collapsed="false">
      <c r="A5" s="5" t="s">
        <v>7</v>
      </c>
      <c r="B5" s="6" t="n">
        <v>950</v>
      </c>
      <c r="C5" s="5" t="n">
        <f aca="false">B5*8</f>
        <v>7600</v>
      </c>
      <c r="D5" s="5" t="s">
        <v>8</v>
      </c>
      <c r="E5" s="7" t="s">
        <v>9</v>
      </c>
    </row>
    <row r="6" customFormat="false" ht="15" hidden="false" customHeight="true" outlineLevel="0" collapsed="false">
      <c r="A6" s="5" t="s">
        <v>10</v>
      </c>
      <c r="B6" s="6" t="n">
        <v>830</v>
      </c>
      <c r="C6" s="5" t="n">
        <f aca="false">B6*8</f>
        <v>6640</v>
      </c>
      <c r="D6" s="5" t="s">
        <v>11</v>
      </c>
      <c r="E6" s="7" t="s">
        <v>12</v>
      </c>
    </row>
    <row r="7" customFormat="false" ht="15" hidden="false" customHeight="true" outlineLevel="0" collapsed="false">
      <c r="A7" s="5" t="s">
        <v>13</v>
      </c>
      <c r="B7" s="6" t="n">
        <v>750</v>
      </c>
      <c r="C7" s="5" t="n">
        <f aca="false">B7*8</f>
        <v>6000</v>
      </c>
      <c r="D7" s="5" t="s">
        <v>11</v>
      </c>
      <c r="E7" s="7" t="s">
        <v>14</v>
      </c>
    </row>
    <row r="8" customFormat="false" ht="15" hidden="false" customHeight="true" outlineLevel="0" collapsed="false">
      <c r="A8" s="5" t="s">
        <v>15</v>
      </c>
      <c r="B8" s="6" t="n">
        <v>550</v>
      </c>
      <c r="C8" s="5" t="n">
        <f aca="false">B8*8</f>
        <v>4400</v>
      </c>
      <c r="D8" s="5" t="s">
        <v>11</v>
      </c>
      <c r="E8" s="7" t="s">
        <v>16</v>
      </c>
    </row>
    <row r="9" customFormat="false" ht="15" hidden="false" customHeight="true" outlineLevel="0" collapsed="false">
      <c r="A9" s="5" t="s">
        <v>17</v>
      </c>
      <c r="B9" s="6" t="n">
        <v>700</v>
      </c>
      <c r="C9" s="5" t="n">
        <f aca="false">B9*8</f>
        <v>5600</v>
      </c>
      <c r="D9" s="5" t="s">
        <v>11</v>
      </c>
      <c r="E9" s="7" t="s">
        <v>18</v>
      </c>
    </row>
    <row r="10" customFormat="false" ht="15" hidden="false" customHeight="true" outlineLevel="0" collapsed="false">
      <c r="A10" s="5" t="s">
        <v>19</v>
      </c>
      <c r="B10" s="6" t="n">
        <v>450</v>
      </c>
      <c r="C10" s="5" t="n">
        <f aca="false">B10*8</f>
        <v>3600</v>
      </c>
      <c r="D10" s="5" t="s">
        <v>11</v>
      </c>
      <c r="E10" s="7" t="s">
        <v>20</v>
      </c>
    </row>
    <row r="11" customFormat="false" ht="15" hidden="false" customHeight="true" outlineLevel="0" collapsed="false">
      <c r="A11" s="5" t="s">
        <v>21</v>
      </c>
      <c r="B11" s="6" t="n">
        <v>900</v>
      </c>
      <c r="C11" s="5" t="n">
        <f aca="false">B11*8</f>
        <v>7200</v>
      </c>
      <c r="D11" s="5" t="s">
        <v>8</v>
      </c>
      <c r="E11" s="7" t="s">
        <v>22</v>
      </c>
    </row>
    <row r="12" customFormat="false" ht="15" hidden="false" customHeight="true" outlineLevel="0" collapsed="false">
      <c r="A12" s="5" t="s">
        <v>23</v>
      </c>
      <c r="B12" s="6" t="n">
        <v>1100</v>
      </c>
      <c r="C12" s="5" t="n">
        <f aca="false">B12*8</f>
        <v>8800</v>
      </c>
      <c r="D12" s="5" t="s">
        <v>24</v>
      </c>
      <c r="E12" s="7" t="s">
        <v>25</v>
      </c>
    </row>
    <row r="13" customFormat="false" ht="15" hidden="false" customHeight="true" outlineLevel="0" collapsed="false">
      <c r="A13" s="5" t="s">
        <v>26</v>
      </c>
      <c r="B13" s="6" t="n">
        <v>1300</v>
      </c>
      <c r="C13" s="5" t="n">
        <f aca="false">B13*8</f>
        <v>10400</v>
      </c>
      <c r="D13" s="5" t="s">
        <v>27</v>
      </c>
      <c r="E13" s="7" t="s">
        <v>28</v>
      </c>
    </row>
    <row r="14" customFormat="false" ht="15" hidden="false" customHeight="true" outlineLevel="0" collapsed="false">
      <c r="A14" s="5" t="s">
        <v>29</v>
      </c>
      <c r="B14" s="6" t="n">
        <v>700</v>
      </c>
      <c r="C14" s="5" t="n">
        <f aca="false">B14*8</f>
        <v>5600</v>
      </c>
      <c r="D14" s="5" t="s">
        <v>27</v>
      </c>
      <c r="E14" s="7" t="s">
        <v>30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0"/>
    <col collapsed="false" customWidth="true" hidden="false" outlineLevel="0" max="3" min="3" style="1" width="42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14"/>
    <col collapsed="false" customWidth="true" hidden="false" outlineLevel="0" max="11" min="11" style="1" width="15"/>
  </cols>
  <sheetData>
    <row r="1" customFormat="false" ht="15.75" hidden="false" customHeight="true" outlineLevel="0" collapsed="false">
      <c r="A1" s="2" t="s">
        <v>31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 t="s">
        <v>32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true" outlineLevel="0" collapsed="false">
      <c r="A4" s="8" t="s">
        <v>33</v>
      </c>
      <c r="B4" s="8"/>
      <c r="C4" s="8"/>
      <c r="D4" s="8"/>
    </row>
    <row r="5" customFormat="false" ht="15" hidden="false" customHeight="true" outlineLevel="0" collapsed="false">
      <c r="A5" s="9" t="s">
        <v>34</v>
      </c>
      <c r="B5" s="10" t="n">
        <f aca="false">AVERAGE(Ставки_персонала_01!B6:B10)</f>
        <v>656</v>
      </c>
    </row>
    <row r="6" customFormat="false" ht="15" hidden="false" customHeight="true" outlineLevel="0" collapsed="false">
      <c r="A6" s="9" t="s">
        <v>35</v>
      </c>
      <c r="B6" s="10" t="n">
        <f aca="false">Ставки_персонала_01!B12</f>
        <v>1100</v>
      </c>
    </row>
    <row r="7" customFormat="false" ht="15" hidden="false" customHeight="true" outlineLevel="0" collapsed="false">
      <c r="A7" s="9" t="s">
        <v>36</v>
      </c>
      <c r="B7" s="10" t="n">
        <f aca="false">AVERAGE(Ставки_персонала_01!B13:B14)</f>
        <v>1000</v>
      </c>
    </row>
    <row r="9" customFormat="false" ht="57" hidden="false" customHeight="true" outlineLevel="0" collapsed="false">
      <c r="A9" s="11" t="s">
        <v>37</v>
      </c>
      <c r="B9" s="11" t="s">
        <v>38</v>
      </c>
      <c r="C9" s="11" t="s">
        <v>39</v>
      </c>
      <c r="D9" s="11" t="s">
        <v>40</v>
      </c>
      <c r="E9" s="11" t="s">
        <v>41</v>
      </c>
      <c r="F9" s="11" t="s">
        <v>42</v>
      </c>
      <c r="G9" s="11" t="s">
        <v>43</v>
      </c>
      <c r="H9" s="11" t="s">
        <v>44</v>
      </c>
      <c r="I9" s="11" t="s">
        <v>45</v>
      </c>
      <c r="J9" s="11" t="s">
        <v>46</v>
      </c>
      <c r="K9" s="11" t="s">
        <v>47</v>
      </c>
    </row>
    <row r="10" customFormat="false" ht="15" hidden="false" customHeight="true" outlineLevel="0" collapsed="false">
      <c r="A10" s="5" t="n">
        <v>1</v>
      </c>
      <c r="B10" s="5" t="s">
        <v>48</v>
      </c>
      <c r="C10" s="5" t="s">
        <v>49</v>
      </c>
      <c r="D10" s="5" t="s">
        <v>11</v>
      </c>
      <c r="E10" s="6" t="n">
        <v>66.5</v>
      </c>
      <c r="F10" s="12" t="n">
        <f aca="false">B5</f>
        <v>656</v>
      </c>
      <c r="G10" s="13" t="n">
        <f aca="false">E10*8*F10</f>
        <v>348992</v>
      </c>
      <c r="H10" s="14" t="n">
        <v>142000</v>
      </c>
      <c r="I10" s="15" t="n">
        <v>0.15</v>
      </c>
      <c r="J10" s="13" t="n">
        <f aca="false">(G10+H10)*I10</f>
        <v>73648.8</v>
      </c>
      <c r="K10" s="16" t="n">
        <f aca="false">G10+H10+J10</f>
        <v>564640.8</v>
      </c>
    </row>
    <row r="11" customFormat="false" ht="15" hidden="false" customHeight="true" outlineLevel="0" collapsed="false">
      <c r="A11" s="5" t="n">
        <v>2</v>
      </c>
      <c r="B11" s="5" t="s">
        <v>50</v>
      </c>
      <c r="C11" s="5" t="s">
        <v>51</v>
      </c>
      <c r="D11" s="5" t="s">
        <v>11</v>
      </c>
      <c r="E11" s="6" t="n">
        <v>65</v>
      </c>
      <c r="F11" s="12" t="n">
        <f aca="false">B5</f>
        <v>656</v>
      </c>
      <c r="G11" s="13" t="n">
        <f aca="false">E11*8*F11</f>
        <v>341120</v>
      </c>
      <c r="H11" s="14" t="n">
        <v>66090</v>
      </c>
      <c r="I11" s="15" t="n">
        <v>0.15</v>
      </c>
      <c r="J11" s="13" t="n">
        <f aca="false">(G11+H11)*I11</f>
        <v>61081.5</v>
      </c>
      <c r="K11" s="16" t="n">
        <f aca="false">G11+H11+J11</f>
        <v>468291.5</v>
      </c>
    </row>
    <row r="12" customFormat="false" ht="15" hidden="false" customHeight="true" outlineLevel="0" collapsed="false">
      <c r="A12" s="5" t="n">
        <v>3</v>
      </c>
      <c r="B12" s="5" t="s">
        <v>52</v>
      </c>
      <c r="C12" s="5" t="s">
        <v>53</v>
      </c>
      <c r="D12" s="5" t="s">
        <v>11</v>
      </c>
      <c r="E12" s="6" t="n">
        <v>66.5</v>
      </c>
      <c r="F12" s="12" t="n">
        <f aca="false">B5</f>
        <v>656</v>
      </c>
      <c r="G12" s="13" t="n">
        <f aca="false">E12*8*F12</f>
        <v>348992</v>
      </c>
      <c r="H12" s="14" t="n">
        <v>57900</v>
      </c>
      <c r="I12" s="15" t="n">
        <v>0.15</v>
      </c>
      <c r="J12" s="13" t="n">
        <f aca="false">(G12+H12)*I12</f>
        <v>61033.8</v>
      </c>
      <c r="K12" s="16" t="n">
        <f aca="false">G12+H12+J12</f>
        <v>467925.8</v>
      </c>
    </row>
    <row r="13" customFormat="false" ht="15" hidden="false" customHeight="true" outlineLevel="0" collapsed="false">
      <c r="A13" s="5" t="n">
        <v>4</v>
      </c>
      <c r="B13" s="5" t="s">
        <v>54</v>
      </c>
      <c r="C13" s="5" t="s">
        <v>55</v>
      </c>
      <c r="D13" s="5" t="s">
        <v>11</v>
      </c>
      <c r="E13" s="6" t="n">
        <v>66.5</v>
      </c>
      <c r="F13" s="12" t="n">
        <f aca="false">B5</f>
        <v>656</v>
      </c>
      <c r="G13" s="13" t="n">
        <f aca="false">E13*8*F13</f>
        <v>348992</v>
      </c>
      <c r="H13" s="14" t="n">
        <v>13553</v>
      </c>
      <c r="I13" s="15" t="n">
        <v>0.15</v>
      </c>
      <c r="J13" s="13" t="n">
        <f aca="false">(G13+H13)*I13</f>
        <v>54381.75</v>
      </c>
      <c r="K13" s="16" t="n">
        <f aca="false">G13+H13+J13</f>
        <v>416926.75</v>
      </c>
    </row>
    <row r="14" customFormat="false" ht="15" hidden="false" customHeight="true" outlineLevel="0" collapsed="false">
      <c r="A14" s="5" t="n">
        <v>5</v>
      </c>
      <c r="B14" s="5" t="s">
        <v>56</v>
      </c>
      <c r="C14" s="5" t="s">
        <v>57</v>
      </c>
      <c r="D14" s="5" t="s">
        <v>11</v>
      </c>
      <c r="E14" s="6" t="n">
        <v>70</v>
      </c>
      <c r="F14" s="12" t="n">
        <f aca="false">B5</f>
        <v>656</v>
      </c>
      <c r="G14" s="13" t="n">
        <f aca="false">E14*8*F14</f>
        <v>367360</v>
      </c>
      <c r="H14" s="14" t="n">
        <v>70000</v>
      </c>
      <c r="I14" s="15" t="n">
        <v>0.15</v>
      </c>
      <c r="J14" s="13" t="n">
        <f aca="false">(G14+H14)*I14</f>
        <v>65604</v>
      </c>
      <c r="K14" s="16" t="n">
        <f aca="false">G14+H14+J14</f>
        <v>502964</v>
      </c>
    </row>
    <row r="15" customFormat="false" ht="15" hidden="false" customHeight="true" outlineLevel="0" collapsed="false">
      <c r="A15" s="5" t="n">
        <v>6</v>
      </c>
      <c r="B15" s="5" t="s">
        <v>58</v>
      </c>
      <c r="C15" s="5" t="s">
        <v>59</v>
      </c>
      <c r="D15" s="5" t="s">
        <v>11</v>
      </c>
      <c r="E15" s="6" t="n">
        <v>76</v>
      </c>
      <c r="F15" s="12" t="n">
        <f aca="false">B5</f>
        <v>656</v>
      </c>
      <c r="G15" s="13" t="n">
        <f aca="false">E15*8*F15</f>
        <v>398848</v>
      </c>
      <c r="H15" s="14" t="n">
        <v>240000</v>
      </c>
      <c r="I15" s="15" t="n">
        <v>0.15</v>
      </c>
      <c r="J15" s="13" t="n">
        <f aca="false">(G15+H15)*I15</f>
        <v>95827.2</v>
      </c>
      <c r="K15" s="16" t="n">
        <f aca="false">G15+H15+J15</f>
        <v>734675.2</v>
      </c>
    </row>
    <row r="16" customFormat="false" ht="15" hidden="false" customHeight="true" outlineLevel="0" collapsed="false">
      <c r="A16" s="5" t="n">
        <v>7</v>
      </c>
      <c r="B16" s="5" t="s">
        <v>60</v>
      </c>
      <c r="C16" s="5" t="s">
        <v>61</v>
      </c>
      <c r="D16" s="5" t="s">
        <v>24</v>
      </c>
      <c r="E16" s="6" t="n">
        <v>55</v>
      </c>
      <c r="F16" s="12" t="n">
        <f aca="false">B6</f>
        <v>1100</v>
      </c>
      <c r="G16" s="13" t="n">
        <f aca="false">E16*8*F16</f>
        <v>484000</v>
      </c>
      <c r="H16" s="14" t="n">
        <v>700000</v>
      </c>
      <c r="I16" s="15" t="n">
        <v>0.15</v>
      </c>
      <c r="J16" s="13" t="n">
        <f aca="false">(G16+H16)*I16</f>
        <v>177600</v>
      </c>
      <c r="K16" s="16" t="n">
        <f aca="false">G16+H16+J16</f>
        <v>1361600</v>
      </c>
    </row>
    <row r="17" customFormat="false" ht="15" hidden="false" customHeight="true" outlineLevel="0" collapsed="false">
      <c r="A17" s="5" t="n">
        <v>8</v>
      </c>
      <c r="B17" s="5" t="s">
        <v>62</v>
      </c>
      <c r="C17" s="5" t="s">
        <v>63</v>
      </c>
      <c r="D17" s="5" t="s">
        <v>24</v>
      </c>
      <c r="E17" s="6" t="n">
        <v>52</v>
      </c>
      <c r="F17" s="12" t="n">
        <f aca="false">B6</f>
        <v>1100</v>
      </c>
      <c r="G17" s="13" t="n">
        <f aca="false">E17*8*F17</f>
        <v>457600</v>
      </c>
      <c r="H17" s="14" t="n">
        <v>900000</v>
      </c>
      <c r="I17" s="15" t="n">
        <v>0.15</v>
      </c>
      <c r="J17" s="13" t="n">
        <f aca="false">(G17+H17)*I17</f>
        <v>203640</v>
      </c>
      <c r="K17" s="16" t="n">
        <f aca="false">G17+H17+J17</f>
        <v>1561240</v>
      </c>
    </row>
    <row r="18" customFormat="false" ht="15" hidden="false" customHeight="true" outlineLevel="0" collapsed="false">
      <c r="A18" s="5" t="n">
        <v>9</v>
      </c>
      <c r="B18" s="5" t="s">
        <v>64</v>
      </c>
      <c r="C18" s="5" t="s">
        <v>65</v>
      </c>
      <c r="D18" s="5" t="s">
        <v>24</v>
      </c>
      <c r="E18" s="6" t="n">
        <v>55</v>
      </c>
      <c r="F18" s="12" t="n">
        <f aca="false">B6</f>
        <v>1100</v>
      </c>
      <c r="G18" s="13" t="n">
        <f aca="false">E18*8*F18</f>
        <v>484000</v>
      </c>
      <c r="H18" s="14" t="n">
        <v>1200000</v>
      </c>
      <c r="I18" s="15" t="n">
        <v>0.15</v>
      </c>
      <c r="J18" s="13" t="n">
        <f aca="false">(G18+H18)*I18</f>
        <v>252600</v>
      </c>
      <c r="K18" s="16" t="n">
        <f aca="false">G18+H18+J18</f>
        <v>1936600</v>
      </c>
    </row>
    <row r="19" customFormat="false" ht="15" hidden="false" customHeight="true" outlineLevel="0" collapsed="false">
      <c r="A19" s="5" t="n">
        <v>10</v>
      </c>
      <c r="B19" s="5" t="s">
        <v>66</v>
      </c>
      <c r="C19" s="5" t="s">
        <v>67</v>
      </c>
      <c r="D19" s="5" t="s">
        <v>24</v>
      </c>
      <c r="E19" s="6" t="n">
        <v>51</v>
      </c>
      <c r="F19" s="12" t="n">
        <f aca="false">B6</f>
        <v>1100</v>
      </c>
      <c r="G19" s="13" t="n">
        <f aca="false">E19*8*F19</f>
        <v>448800</v>
      </c>
      <c r="H19" s="14" t="n">
        <v>1500000</v>
      </c>
      <c r="I19" s="15" t="n">
        <v>0.15</v>
      </c>
      <c r="J19" s="13" t="n">
        <f aca="false">(G19+H19)*I19</f>
        <v>292320</v>
      </c>
      <c r="K19" s="16" t="n">
        <f aca="false">G19+H19+J19</f>
        <v>2241120</v>
      </c>
    </row>
    <row r="20" customFormat="false" ht="15" hidden="false" customHeight="true" outlineLevel="0" collapsed="false">
      <c r="A20" s="5" t="n">
        <v>11</v>
      </c>
      <c r="B20" s="5" t="s">
        <v>68</v>
      </c>
      <c r="C20" s="5" t="s">
        <v>69</v>
      </c>
      <c r="D20" s="5" t="s">
        <v>24</v>
      </c>
      <c r="E20" s="6" t="n">
        <v>48</v>
      </c>
      <c r="F20" s="12" t="n">
        <f aca="false">B6</f>
        <v>1100</v>
      </c>
      <c r="G20" s="13" t="n">
        <f aca="false">E20*8*F20</f>
        <v>422400</v>
      </c>
      <c r="H20" s="14" t="n">
        <v>600000</v>
      </c>
      <c r="I20" s="15" t="n">
        <v>0.15</v>
      </c>
      <c r="J20" s="13" t="n">
        <f aca="false">(G20+H20)*I20</f>
        <v>153360</v>
      </c>
      <c r="K20" s="16" t="n">
        <f aca="false">G20+H20+J20</f>
        <v>1175760</v>
      </c>
    </row>
    <row r="21" customFormat="false" ht="15" hidden="false" customHeight="true" outlineLevel="0" collapsed="false">
      <c r="A21" s="5" t="n">
        <v>12</v>
      </c>
      <c r="B21" s="5" t="s">
        <v>70</v>
      </c>
      <c r="C21" s="5" t="s">
        <v>71</v>
      </c>
      <c r="D21" s="5" t="s">
        <v>24</v>
      </c>
      <c r="E21" s="6" t="n">
        <v>52</v>
      </c>
      <c r="F21" s="12" t="n">
        <f aca="false">B6</f>
        <v>1100</v>
      </c>
      <c r="G21" s="13" t="n">
        <f aca="false">E21*8*F21</f>
        <v>457600</v>
      </c>
      <c r="H21" s="14" t="n">
        <v>450000</v>
      </c>
      <c r="I21" s="15" t="n">
        <v>0.15</v>
      </c>
      <c r="J21" s="13" t="n">
        <f aca="false">(G21+H21)*I21</f>
        <v>136140</v>
      </c>
      <c r="K21" s="16" t="n">
        <f aca="false">G21+H21+J21</f>
        <v>1043740</v>
      </c>
    </row>
    <row r="22" customFormat="false" ht="15" hidden="false" customHeight="true" outlineLevel="0" collapsed="false">
      <c r="A22" s="5" t="n">
        <v>13</v>
      </c>
      <c r="B22" s="5" t="s">
        <v>72</v>
      </c>
      <c r="C22" s="5" t="s">
        <v>73</v>
      </c>
      <c r="D22" s="5" t="s">
        <v>24</v>
      </c>
      <c r="E22" s="6" t="n">
        <v>42</v>
      </c>
      <c r="F22" s="12" t="n">
        <f aca="false">B6</f>
        <v>1100</v>
      </c>
      <c r="G22" s="13" t="n">
        <f aca="false">E22*8*F22</f>
        <v>369600</v>
      </c>
      <c r="H22" s="14" t="n">
        <v>250000</v>
      </c>
      <c r="I22" s="15" t="n">
        <v>0.15</v>
      </c>
      <c r="J22" s="13" t="n">
        <f aca="false">(G22+H22)*I22</f>
        <v>92940</v>
      </c>
      <c r="K22" s="16" t="n">
        <f aca="false">G22+H22+J22</f>
        <v>712540</v>
      </c>
    </row>
    <row r="23" customFormat="false" ht="15" hidden="false" customHeight="true" outlineLevel="0" collapsed="false">
      <c r="A23" s="5" t="n">
        <v>14</v>
      </c>
      <c r="B23" s="5" t="s">
        <v>74</v>
      </c>
      <c r="C23" s="5" t="s">
        <v>75</v>
      </c>
      <c r="D23" s="5" t="s">
        <v>24</v>
      </c>
      <c r="E23" s="6" t="n">
        <v>44</v>
      </c>
      <c r="F23" s="12" t="n">
        <f aca="false">B6</f>
        <v>1100</v>
      </c>
      <c r="G23" s="13" t="n">
        <f aca="false">E23*8*F23</f>
        <v>387200</v>
      </c>
      <c r="H23" s="14" t="n">
        <v>70000</v>
      </c>
      <c r="I23" s="15" t="n">
        <v>0.15</v>
      </c>
      <c r="J23" s="13" t="n">
        <f aca="false">(G23+H23)*I23</f>
        <v>68580</v>
      </c>
      <c r="K23" s="16" t="n">
        <f aca="false">G23+H23+J23</f>
        <v>525780</v>
      </c>
    </row>
    <row r="24" customFormat="false" ht="15" hidden="false" customHeight="true" outlineLevel="0" collapsed="false">
      <c r="A24" s="5" t="n">
        <v>15</v>
      </c>
      <c r="B24" s="5" t="s">
        <v>76</v>
      </c>
      <c r="C24" s="5" t="s">
        <v>77</v>
      </c>
      <c r="D24" s="5" t="s">
        <v>27</v>
      </c>
      <c r="E24" s="6" t="n">
        <v>28</v>
      </c>
      <c r="F24" s="12" t="n">
        <f aca="false">B7</f>
        <v>1000</v>
      </c>
      <c r="G24" s="13" t="n">
        <f aca="false">E24*8*F24</f>
        <v>224000</v>
      </c>
      <c r="H24" s="14" t="n">
        <v>250000</v>
      </c>
      <c r="I24" s="15" t="n">
        <v>0.15</v>
      </c>
      <c r="J24" s="13" t="n">
        <f aca="false">(G24+H24)*I24</f>
        <v>71100</v>
      </c>
      <c r="K24" s="16" t="n">
        <f aca="false">G24+H24+J24</f>
        <v>545100</v>
      </c>
    </row>
    <row r="25" customFormat="false" ht="15" hidden="false" customHeight="true" outlineLevel="0" collapsed="false">
      <c r="A25" s="5" t="n">
        <v>16</v>
      </c>
      <c r="B25" s="5" t="s">
        <v>78</v>
      </c>
      <c r="C25" s="5" t="s">
        <v>79</v>
      </c>
      <c r="D25" s="5" t="s">
        <v>27</v>
      </c>
      <c r="E25" s="6" t="n">
        <v>34</v>
      </c>
      <c r="F25" s="12" t="n">
        <f aca="false">B7</f>
        <v>1000</v>
      </c>
      <c r="G25" s="13" t="n">
        <f aca="false">E25*8*F25</f>
        <v>272000</v>
      </c>
      <c r="H25" s="14" t="n">
        <v>400000</v>
      </c>
      <c r="I25" s="15" t="n">
        <v>0.15</v>
      </c>
      <c r="J25" s="13" t="n">
        <f aca="false">(G25+H25)*I25</f>
        <v>100800</v>
      </c>
      <c r="K25" s="16" t="n">
        <f aca="false">G25+H25+J25</f>
        <v>772800</v>
      </c>
    </row>
    <row r="26" customFormat="false" ht="15" hidden="false" customHeight="true" outlineLevel="0" collapsed="false">
      <c r="A26" s="5" t="n">
        <v>17</v>
      </c>
      <c r="B26" s="5" t="s">
        <v>80</v>
      </c>
      <c r="C26" s="5" t="s">
        <v>81</v>
      </c>
      <c r="D26" s="5" t="s">
        <v>27</v>
      </c>
      <c r="E26" s="6" t="n">
        <v>34</v>
      </c>
      <c r="F26" s="12" t="n">
        <f aca="false">B7</f>
        <v>1000</v>
      </c>
      <c r="G26" s="13" t="n">
        <f aca="false">E26*8*F26</f>
        <v>272000</v>
      </c>
      <c r="H26" s="14" t="n">
        <v>200000</v>
      </c>
      <c r="I26" s="15" t="n">
        <v>0.15</v>
      </c>
      <c r="J26" s="13" t="n">
        <f aca="false">(G26+H26)*I26</f>
        <v>70800</v>
      </c>
      <c r="K26" s="16" t="n">
        <f aca="false">G26+H26+J26</f>
        <v>542800</v>
      </c>
    </row>
    <row r="27" customFormat="false" ht="15" hidden="false" customHeight="true" outlineLevel="0" collapsed="false">
      <c r="A27" s="5" t="n">
        <v>18</v>
      </c>
      <c r="B27" s="5" t="s">
        <v>82</v>
      </c>
      <c r="C27" s="5" t="s">
        <v>83</v>
      </c>
      <c r="D27" s="5" t="s">
        <v>27</v>
      </c>
      <c r="E27" s="6" t="n">
        <v>15</v>
      </c>
      <c r="F27" s="12" t="n">
        <f aca="false">B7</f>
        <v>1000</v>
      </c>
      <c r="G27" s="13" t="n">
        <f aca="false">E27*8*F27</f>
        <v>120000</v>
      </c>
      <c r="H27" s="14" t="n">
        <v>60000</v>
      </c>
      <c r="I27" s="15" t="n">
        <v>0.15</v>
      </c>
      <c r="J27" s="13" t="n">
        <f aca="false">(G27+H27)*I27</f>
        <v>27000</v>
      </c>
      <c r="K27" s="16" t="n">
        <f aca="false">G27+H27+J27</f>
        <v>207000</v>
      </c>
    </row>
    <row r="28" customFormat="false" ht="15" hidden="false" customHeight="true" outlineLevel="0" collapsed="false">
      <c r="A28" s="5" t="n">
        <v>19</v>
      </c>
      <c r="B28" s="5" t="s">
        <v>84</v>
      </c>
      <c r="C28" s="5" t="s">
        <v>85</v>
      </c>
      <c r="D28" s="5" t="s">
        <v>27</v>
      </c>
      <c r="E28" s="6" t="n">
        <v>34</v>
      </c>
      <c r="F28" s="12" t="n">
        <f aca="false">B7</f>
        <v>1000</v>
      </c>
      <c r="G28" s="13" t="n">
        <f aca="false">E28*8*F28</f>
        <v>272000</v>
      </c>
      <c r="H28" s="14" t="n">
        <v>500000</v>
      </c>
      <c r="I28" s="15" t="n">
        <v>0.15</v>
      </c>
      <c r="J28" s="13" t="n">
        <f aca="false">(G28+H28)*I28</f>
        <v>115800</v>
      </c>
      <c r="K28" s="16" t="n">
        <f aca="false">G28+H28+J28</f>
        <v>887800</v>
      </c>
    </row>
    <row r="29" customFormat="false" ht="15" hidden="false" customHeight="true" outlineLevel="0" collapsed="false">
      <c r="A29" s="5" t="n">
        <v>20</v>
      </c>
      <c r="B29" s="5" t="s">
        <v>86</v>
      </c>
      <c r="C29" s="5" t="s">
        <v>87</v>
      </c>
      <c r="D29" s="5" t="s">
        <v>27</v>
      </c>
      <c r="E29" s="6" t="n">
        <v>18</v>
      </c>
      <c r="F29" s="12" t="n">
        <f aca="false">B7</f>
        <v>1000</v>
      </c>
      <c r="G29" s="13" t="n">
        <f aca="false">E29*8*F29</f>
        <v>144000</v>
      </c>
      <c r="H29" s="14" t="n">
        <v>5000</v>
      </c>
      <c r="I29" s="15" t="n">
        <v>0.15</v>
      </c>
      <c r="J29" s="13" t="n">
        <f aca="false">(G29+H29)*I29</f>
        <v>22350</v>
      </c>
      <c r="K29" s="16" t="n">
        <f aca="false">G29+H29+J29</f>
        <v>171350</v>
      </c>
    </row>
    <row r="30" customFormat="false" ht="15" hidden="false" customHeight="true" outlineLevel="0" collapsed="false">
      <c r="A30" s="17"/>
      <c r="B30" s="17"/>
      <c r="C30" s="17"/>
      <c r="D30" s="17"/>
      <c r="E30" s="17"/>
      <c r="F30" s="18" t="s">
        <v>88</v>
      </c>
      <c r="G30" s="16" t="n">
        <f aca="false">SUM(G10:G29)</f>
        <v>6969504</v>
      </c>
      <c r="H30" s="16" t="n">
        <f aca="false">SUM(H10:H29)</f>
        <v>7674543</v>
      </c>
      <c r="I30" s="17"/>
      <c r="J30" s="16" t="n">
        <f aca="false">SUM(J10:J29)</f>
        <v>2196607.05</v>
      </c>
      <c r="K30" s="16" t="n">
        <f aca="false">SUM(K10:K29)</f>
        <v>16840654.05</v>
      </c>
    </row>
    <row r="32" customFormat="false" ht="45" hidden="false" customHeight="true" outlineLevel="0" collapsed="false">
      <c r="A32" s="3" t="s">
        <v>89</v>
      </c>
      <c r="B32" s="3"/>
      <c r="C32" s="3"/>
      <c r="D32" s="3"/>
      <c r="E32" s="3"/>
      <c r="F32" s="3"/>
      <c r="G32" s="3"/>
      <c r="H32" s="3"/>
      <c r="I32" s="3"/>
      <c r="J32" s="3"/>
      <c r="K32" s="3"/>
    </row>
  </sheetData>
  <mergeCells count="4">
    <mergeCell ref="A1:J1"/>
    <mergeCell ref="A2:J2"/>
    <mergeCell ref="A4:D4"/>
    <mergeCell ref="A32:K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0"/>
    <col collapsed="false" customWidth="true" hidden="false" outlineLevel="0" max="3" min="3" style="1" width="42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7" min="6" style="1" width="16"/>
    <col collapsed="false" customWidth="true" hidden="false" outlineLevel="0" max="8" min="8" style="1" width="20"/>
  </cols>
  <sheetData>
    <row r="1" customFormat="false" ht="15.75" hidden="false" customHeight="true" outlineLevel="0" collapsed="false">
      <c r="A1" s="2" t="s">
        <v>90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91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19" t="s">
        <v>92</v>
      </c>
    </row>
    <row r="5" customFormat="false" ht="15" hidden="false" customHeight="true" outlineLevel="0" collapsed="false">
      <c r="A5" s="9" t="s">
        <v>93</v>
      </c>
      <c r="B5" s="20" t="n">
        <v>0.3</v>
      </c>
    </row>
    <row r="6" customFormat="false" ht="15" hidden="false" customHeight="true" outlineLevel="0" collapsed="false">
      <c r="A6" s="9" t="s">
        <v>94</v>
      </c>
      <c r="B6" s="20" t="n">
        <v>0.4</v>
      </c>
    </row>
    <row r="7" customFormat="false" ht="15" hidden="false" customHeight="true" outlineLevel="0" collapsed="false">
      <c r="A7" s="9" t="s">
        <v>95</v>
      </c>
      <c r="B7" s="20" t="n">
        <v>0.3</v>
      </c>
    </row>
    <row r="8" customFormat="false" ht="15" hidden="false" customHeight="true" outlineLevel="0" collapsed="false">
      <c r="A8" s="9" t="s">
        <v>96</v>
      </c>
      <c r="B8" s="21" t="n">
        <f aca="false">B5+B6+B7</f>
        <v>1</v>
      </c>
    </row>
    <row r="10" customFormat="false" ht="45.75" hidden="false" customHeight="true" outlineLevel="0" collapsed="false">
      <c r="A10" s="11" t="s">
        <v>37</v>
      </c>
      <c r="B10" s="11" t="s">
        <v>38</v>
      </c>
      <c r="C10" s="11" t="s">
        <v>39</v>
      </c>
      <c r="D10" s="11" t="s">
        <v>97</v>
      </c>
      <c r="E10" s="11" t="s">
        <v>98</v>
      </c>
      <c r="F10" s="11" t="s">
        <v>99</v>
      </c>
      <c r="G10" s="11" t="s">
        <v>100</v>
      </c>
      <c r="H10" s="11" t="s">
        <v>101</v>
      </c>
    </row>
    <row r="11" customFormat="false" ht="15" hidden="false" customHeight="true" outlineLevel="0" collapsed="false">
      <c r="A11" s="5" t="n">
        <v>1</v>
      </c>
      <c r="B11" s="5" t="s">
        <v>48</v>
      </c>
      <c r="C11" s="5" t="s">
        <v>49</v>
      </c>
      <c r="D11" s="12" t="n">
        <f aca="false">Смета_20типов_04!K10</f>
        <v>564640.8</v>
      </c>
      <c r="E11" s="13" t="n">
        <f aca="false">$D11*$B$5</f>
        <v>169392.24</v>
      </c>
      <c r="F11" s="13" t="n">
        <f aca="false">$D11*$B$6</f>
        <v>225856.32</v>
      </c>
      <c r="G11" s="13" t="n">
        <f aca="false">$D11*$B$7</f>
        <v>169392.24</v>
      </c>
      <c r="H11" s="22" t="n">
        <f aca="false">E11+F11+G11-D11</f>
        <v>0</v>
      </c>
    </row>
    <row r="12" customFormat="false" ht="15" hidden="false" customHeight="true" outlineLevel="0" collapsed="false">
      <c r="A12" s="5" t="n">
        <v>2</v>
      </c>
      <c r="B12" s="5" t="s">
        <v>50</v>
      </c>
      <c r="C12" s="5" t="s">
        <v>51</v>
      </c>
      <c r="D12" s="12" t="n">
        <f aca="false">Смета_20типов_04!K11</f>
        <v>468291.5</v>
      </c>
      <c r="E12" s="13" t="n">
        <f aca="false">$D12*$B$5</f>
        <v>140487.45</v>
      </c>
      <c r="F12" s="13" t="n">
        <f aca="false">$D12*$B$6</f>
        <v>187316.6</v>
      </c>
      <c r="G12" s="13" t="n">
        <f aca="false">$D12*$B$7</f>
        <v>140487.45</v>
      </c>
      <c r="H12" s="22" t="n">
        <f aca="false">E12+F12+G12-D12</f>
        <v>0</v>
      </c>
    </row>
    <row r="13" customFormat="false" ht="15" hidden="false" customHeight="true" outlineLevel="0" collapsed="false">
      <c r="A13" s="5" t="n">
        <v>3</v>
      </c>
      <c r="B13" s="5" t="s">
        <v>52</v>
      </c>
      <c r="C13" s="5" t="s">
        <v>53</v>
      </c>
      <c r="D13" s="12" t="n">
        <f aca="false">Смета_20типов_04!K12</f>
        <v>467925.8</v>
      </c>
      <c r="E13" s="13" t="n">
        <f aca="false">$D13*$B$5</f>
        <v>140377.74</v>
      </c>
      <c r="F13" s="13" t="n">
        <f aca="false">$D13*$B$6</f>
        <v>187170.32</v>
      </c>
      <c r="G13" s="13" t="n">
        <f aca="false">$D13*$B$7</f>
        <v>140377.74</v>
      </c>
      <c r="H13" s="22" t="n">
        <f aca="false">E13+F13+G13-D13</f>
        <v>0</v>
      </c>
    </row>
    <row r="14" customFormat="false" ht="15" hidden="false" customHeight="true" outlineLevel="0" collapsed="false">
      <c r="A14" s="5" t="n">
        <v>4</v>
      </c>
      <c r="B14" s="5" t="s">
        <v>54</v>
      </c>
      <c r="C14" s="5" t="s">
        <v>55</v>
      </c>
      <c r="D14" s="12" t="n">
        <f aca="false">Смета_20типов_04!K13</f>
        <v>416926.75</v>
      </c>
      <c r="E14" s="13" t="n">
        <f aca="false">$D14*$B$5</f>
        <v>125078.025</v>
      </c>
      <c r="F14" s="13" t="n">
        <f aca="false">$D14*$B$6</f>
        <v>166770.7</v>
      </c>
      <c r="G14" s="13" t="n">
        <f aca="false">$D14*$B$7</f>
        <v>125078.025</v>
      </c>
      <c r="H14" s="22" t="n">
        <f aca="false">E14+F14+G14-D14</f>
        <v>0</v>
      </c>
    </row>
    <row r="15" customFormat="false" ht="15" hidden="false" customHeight="true" outlineLevel="0" collapsed="false">
      <c r="A15" s="5" t="n">
        <v>5</v>
      </c>
      <c r="B15" s="5" t="s">
        <v>56</v>
      </c>
      <c r="C15" s="5" t="s">
        <v>57</v>
      </c>
      <c r="D15" s="12" t="n">
        <f aca="false">Смета_20типов_04!K14</f>
        <v>502964</v>
      </c>
      <c r="E15" s="13" t="n">
        <f aca="false">$D15*$B$5</f>
        <v>150889.2</v>
      </c>
      <c r="F15" s="13" t="n">
        <f aca="false">$D15*$B$6</f>
        <v>201185.6</v>
      </c>
      <c r="G15" s="13" t="n">
        <f aca="false">$D15*$B$7</f>
        <v>150889.2</v>
      </c>
      <c r="H15" s="22" t="n">
        <f aca="false">E15+F15+G15-D15</f>
        <v>0</v>
      </c>
    </row>
    <row r="16" customFormat="false" ht="15" hidden="false" customHeight="true" outlineLevel="0" collapsed="false">
      <c r="A16" s="5" t="n">
        <v>6</v>
      </c>
      <c r="B16" s="5" t="s">
        <v>58</v>
      </c>
      <c r="C16" s="5" t="s">
        <v>59</v>
      </c>
      <c r="D16" s="12" t="n">
        <f aca="false">Смета_20типов_04!K15</f>
        <v>734675.2</v>
      </c>
      <c r="E16" s="13" t="n">
        <f aca="false">$D16*$B$5</f>
        <v>220402.56</v>
      </c>
      <c r="F16" s="13" t="n">
        <f aca="false">$D16*$B$6</f>
        <v>293870.08</v>
      </c>
      <c r="G16" s="13" t="n">
        <f aca="false">$D16*$B$7</f>
        <v>220402.56</v>
      </c>
      <c r="H16" s="22" t="n">
        <f aca="false">E16+F16+G16-D16</f>
        <v>0</v>
      </c>
    </row>
    <row r="17" customFormat="false" ht="15" hidden="false" customHeight="true" outlineLevel="0" collapsed="false">
      <c r="A17" s="5" t="n">
        <v>7</v>
      </c>
      <c r="B17" s="5" t="s">
        <v>60</v>
      </c>
      <c r="C17" s="5" t="s">
        <v>61</v>
      </c>
      <c r="D17" s="12" t="n">
        <f aca="false">Смета_20типов_04!K16</f>
        <v>1361600</v>
      </c>
      <c r="E17" s="13" t="n">
        <f aca="false">$D17*$B$5</f>
        <v>408480</v>
      </c>
      <c r="F17" s="13" t="n">
        <f aca="false">$D17*$B$6</f>
        <v>544640</v>
      </c>
      <c r="G17" s="13" t="n">
        <f aca="false">$D17*$B$7</f>
        <v>408480</v>
      </c>
      <c r="H17" s="22" t="n">
        <f aca="false">E17+F17+G17-D17</f>
        <v>0</v>
      </c>
    </row>
    <row r="18" customFormat="false" ht="15" hidden="false" customHeight="true" outlineLevel="0" collapsed="false">
      <c r="A18" s="5" t="n">
        <v>8</v>
      </c>
      <c r="B18" s="5" t="s">
        <v>62</v>
      </c>
      <c r="C18" s="5" t="s">
        <v>63</v>
      </c>
      <c r="D18" s="12" t="n">
        <f aca="false">Смета_20типов_04!K17</f>
        <v>1561240</v>
      </c>
      <c r="E18" s="13" t="n">
        <f aca="false">$D18*$B$5</f>
        <v>468372</v>
      </c>
      <c r="F18" s="13" t="n">
        <f aca="false">$D18*$B$6</f>
        <v>624496</v>
      </c>
      <c r="G18" s="13" t="n">
        <f aca="false">$D18*$B$7</f>
        <v>468372</v>
      </c>
      <c r="H18" s="22" t="n">
        <f aca="false">E18+F18+G18-D18</f>
        <v>0</v>
      </c>
    </row>
    <row r="19" customFormat="false" ht="15" hidden="false" customHeight="true" outlineLevel="0" collapsed="false">
      <c r="A19" s="5" t="n">
        <v>9</v>
      </c>
      <c r="B19" s="5" t="s">
        <v>64</v>
      </c>
      <c r="C19" s="5" t="s">
        <v>65</v>
      </c>
      <c r="D19" s="12" t="n">
        <f aca="false">Смета_20типов_04!K18</f>
        <v>1936600</v>
      </c>
      <c r="E19" s="13" t="n">
        <f aca="false">$D19*$B$5</f>
        <v>580980</v>
      </c>
      <c r="F19" s="13" t="n">
        <f aca="false">$D19*$B$6</f>
        <v>774640</v>
      </c>
      <c r="G19" s="13" t="n">
        <f aca="false">$D19*$B$7</f>
        <v>580980</v>
      </c>
      <c r="H19" s="22" t="n">
        <f aca="false">E19+F19+G19-D19</f>
        <v>0</v>
      </c>
    </row>
    <row r="20" customFormat="false" ht="15" hidden="false" customHeight="true" outlineLevel="0" collapsed="false">
      <c r="A20" s="5" t="n">
        <v>10</v>
      </c>
      <c r="B20" s="5" t="s">
        <v>66</v>
      </c>
      <c r="C20" s="5" t="s">
        <v>67</v>
      </c>
      <c r="D20" s="12" t="n">
        <f aca="false">Смета_20типов_04!K19</f>
        <v>2241120</v>
      </c>
      <c r="E20" s="13" t="n">
        <f aca="false">$D20*$B$5</f>
        <v>672336</v>
      </c>
      <c r="F20" s="13" t="n">
        <f aca="false">$D20*$B$6</f>
        <v>896448</v>
      </c>
      <c r="G20" s="13" t="n">
        <f aca="false">$D20*$B$7</f>
        <v>672336</v>
      </c>
      <c r="H20" s="22" t="n">
        <f aca="false">E20+F20+G20-D20</f>
        <v>0</v>
      </c>
    </row>
    <row r="21" customFormat="false" ht="15" hidden="false" customHeight="true" outlineLevel="0" collapsed="false">
      <c r="A21" s="5" t="n">
        <v>11</v>
      </c>
      <c r="B21" s="5" t="s">
        <v>68</v>
      </c>
      <c r="C21" s="5" t="s">
        <v>69</v>
      </c>
      <c r="D21" s="12" t="n">
        <f aca="false">Смета_20типов_04!K20</f>
        <v>1175760</v>
      </c>
      <c r="E21" s="13" t="n">
        <f aca="false">$D21*$B$5</f>
        <v>352728</v>
      </c>
      <c r="F21" s="13" t="n">
        <f aca="false">$D21*$B$6</f>
        <v>470304</v>
      </c>
      <c r="G21" s="13" t="n">
        <f aca="false">$D21*$B$7</f>
        <v>352728</v>
      </c>
      <c r="H21" s="22" t="n">
        <f aca="false">E21+F21+G21-D21</f>
        <v>0</v>
      </c>
    </row>
    <row r="22" customFormat="false" ht="15" hidden="false" customHeight="true" outlineLevel="0" collapsed="false">
      <c r="A22" s="5" t="n">
        <v>12</v>
      </c>
      <c r="B22" s="5" t="s">
        <v>70</v>
      </c>
      <c r="C22" s="5" t="s">
        <v>71</v>
      </c>
      <c r="D22" s="12" t="n">
        <f aca="false">Смета_20типов_04!K21</f>
        <v>1043740</v>
      </c>
      <c r="E22" s="13" t="n">
        <f aca="false">$D22*$B$5</f>
        <v>313122</v>
      </c>
      <c r="F22" s="13" t="n">
        <f aca="false">$D22*$B$6</f>
        <v>417496</v>
      </c>
      <c r="G22" s="13" t="n">
        <f aca="false">$D22*$B$7</f>
        <v>313122</v>
      </c>
      <c r="H22" s="22" t="n">
        <f aca="false">E22+F22+G22-D22</f>
        <v>0</v>
      </c>
    </row>
    <row r="23" customFormat="false" ht="15" hidden="false" customHeight="true" outlineLevel="0" collapsed="false">
      <c r="A23" s="5" t="n">
        <v>13</v>
      </c>
      <c r="B23" s="5" t="s">
        <v>72</v>
      </c>
      <c r="C23" s="5" t="s">
        <v>73</v>
      </c>
      <c r="D23" s="12" t="n">
        <f aca="false">Смета_20типов_04!K22</f>
        <v>712540</v>
      </c>
      <c r="E23" s="13" t="n">
        <f aca="false">$D23*$B$5</f>
        <v>213762</v>
      </c>
      <c r="F23" s="13" t="n">
        <f aca="false">$D23*$B$6</f>
        <v>285016</v>
      </c>
      <c r="G23" s="13" t="n">
        <f aca="false">$D23*$B$7</f>
        <v>213762</v>
      </c>
      <c r="H23" s="22" t="n">
        <f aca="false">E23+F23+G23-D23</f>
        <v>0</v>
      </c>
    </row>
    <row r="24" customFormat="false" ht="15" hidden="false" customHeight="true" outlineLevel="0" collapsed="false">
      <c r="A24" s="5" t="n">
        <v>14</v>
      </c>
      <c r="B24" s="5" t="s">
        <v>74</v>
      </c>
      <c r="C24" s="5" t="s">
        <v>75</v>
      </c>
      <c r="D24" s="12" t="n">
        <f aca="false">Смета_20типов_04!K23</f>
        <v>525780</v>
      </c>
      <c r="E24" s="13" t="n">
        <f aca="false">$D24*$B$5</f>
        <v>157734</v>
      </c>
      <c r="F24" s="13" t="n">
        <f aca="false">$D24*$B$6</f>
        <v>210312</v>
      </c>
      <c r="G24" s="13" t="n">
        <f aca="false">$D24*$B$7</f>
        <v>157734</v>
      </c>
      <c r="H24" s="22" t="n">
        <f aca="false">E24+F24+G24-D24</f>
        <v>0</v>
      </c>
    </row>
    <row r="25" customFormat="false" ht="15" hidden="false" customHeight="true" outlineLevel="0" collapsed="false">
      <c r="A25" s="5" t="n">
        <v>15</v>
      </c>
      <c r="B25" s="5" t="s">
        <v>76</v>
      </c>
      <c r="C25" s="5" t="s">
        <v>77</v>
      </c>
      <c r="D25" s="12" t="n">
        <f aca="false">Смета_20типов_04!K24</f>
        <v>545100</v>
      </c>
      <c r="E25" s="13" t="n">
        <f aca="false">$D25*$B$5</f>
        <v>163530</v>
      </c>
      <c r="F25" s="13" t="n">
        <f aca="false">$D25*$B$6</f>
        <v>218040</v>
      </c>
      <c r="G25" s="13" t="n">
        <f aca="false">$D25*$B$7</f>
        <v>163530</v>
      </c>
      <c r="H25" s="22" t="n">
        <f aca="false">E25+F25+G25-D25</f>
        <v>0</v>
      </c>
    </row>
    <row r="26" customFormat="false" ht="15" hidden="false" customHeight="true" outlineLevel="0" collapsed="false">
      <c r="A26" s="5" t="n">
        <v>16</v>
      </c>
      <c r="B26" s="5" t="s">
        <v>78</v>
      </c>
      <c r="C26" s="5" t="s">
        <v>79</v>
      </c>
      <c r="D26" s="12" t="n">
        <f aca="false">Смета_20типов_04!K25</f>
        <v>772800</v>
      </c>
      <c r="E26" s="13" t="n">
        <f aca="false">$D26*$B$5</f>
        <v>231840</v>
      </c>
      <c r="F26" s="13" t="n">
        <f aca="false">$D26*$B$6</f>
        <v>309120</v>
      </c>
      <c r="G26" s="13" t="n">
        <f aca="false">$D26*$B$7</f>
        <v>231840</v>
      </c>
      <c r="H26" s="22" t="n">
        <f aca="false">E26+F26+G26-D26</f>
        <v>0</v>
      </c>
    </row>
    <row r="27" customFormat="false" ht="15" hidden="false" customHeight="true" outlineLevel="0" collapsed="false">
      <c r="A27" s="5" t="n">
        <v>17</v>
      </c>
      <c r="B27" s="5" t="s">
        <v>80</v>
      </c>
      <c r="C27" s="5" t="s">
        <v>81</v>
      </c>
      <c r="D27" s="12" t="n">
        <f aca="false">Смета_20типов_04!K26</f>
        <v>542800</v>
      </c>
      <c r="E27" s="13" t="n">
        <f aca="false">$D27*$B$5</f>
        <v>162840</v>
      </c>
      <c r="F27" s="13" t="n">
        <f aca="false">$D27*$B$6</f>
        <v>217120</v>
      </c>
      <c r="G27" s="13" t="n">
        <f aca="false">$D27*$B$7</f>
        <v>162840</v>
      </c>
      <c r="H27" s="22" t="n">
        <f aca="false">E27+F27+G27-D27</f>
        <v>0</v>
      </c>
    </row>
    <row r="28" customFormat="false" ht="15" hidden="false" customHeight="true" outlineLevel="0" collapsed="false">
      <c r="A28" s="5" t="n">
        <v>18</v>
      </c>
      <c r="B28" s="5" t="s">
        <v>82</v>
      </c>
      <c r="C28" s="5" t="s">
        <v>83</v>
      </c>
      <c r="D28" s="12" t="n">
        <f aca="false">Смета_20типов_04!K27</f>
        <v>207000</v>
      </c>
      <c r="E28" s="13" t="n">
        <f aca="false">$D28*$B$5</f>
        <v>62100</v>
      </c>
      <c r="F28" s="13" t="n">
        <f aca="false">$D28*$B$6</f>
        <v>82800</v>
      </c>
      <c r="G28" s="13" t="n">
        <f aca="false">$D28*$B$7</f>
        <v>62100</v>
      </c>
      <c r="H28" s="22" t="n">
        <f aca="false">E28+F28+G28-D28</f>
        <v>0</v>
      </c>
    </row>
    <row r="29" customFormat="false" ht="15" hidden="false" customHeight="true" outlineLevel="0" collapsed="false">
      <c r="A29" s="5" t="n">
        <v>19</v>
      </c>
      <c r="B29" s="5" t="s">
        <v>84</v>
      </c>
      <c r="C29" s="5" t="s">
        <v>85</v>
      </c>
      <c r="D29" s="12" t="n">
        <f aca="false">Смета_20типов_04!K28</f>
        <v>887800</v>
      </c>
      <c r="E29" s="13" t="n">
        <f aca="false">$D29*$B$5</f>
        <v>266340</v>
      </c>
      <c r="F29" s="13" t="n">
        <f aca="false">$D29*$B$6</f>
        <v>355120</v>
      </c>
      <c r="G29" s="13" t="n">
        <f aca="false">$D29*$B$7</f>
        <v>266340</v>
      </c>
      <c r="H29" s="22" t="n">
        <f aca="false">E29+F29+G29-D29</f>
        <v>0</v>
      </c>
    </row>
    <row r="30" customFormat="false" ht="15" hidden="false" customHeight="true" outlineLevel="0" collapsed="false">
      <c r="A30" s="5" t="n">
        <v>20</v>
      </c>
      <c r="B30" s="5" t="s">
        <v>86</v>
      </c>
      <c r="C30" s="5" t="s">
        <v>87</v>
      </c>
      <c r="D30" s="12" t="n">
        <f aca="false">Смета_20типов_04!K29</f>
        <v>171350</v>
      </c>
      <c r="E30" s="13" t="n">
        <f aca="false">$D30*$B$5</f>
        <v>51405</v>
      </c>
      <c r="F30" s="13" t="n">
        <f aca="false">$D30*$B$6</f>
        <v>68540</v>
      </c>
      <c r="G30" s="13" t="n">
        <f aca="false">$D30*$B$7</f>
        <v>51405</v>
      </c>
      <c r="H30" s="22" t="n">
        <f aca="false">E30+F30+G30-D30</f>
        <v>0</v>
      </c>
    </row>
    <row r="31" customFormat="false" ht="15" hidden="false" customHeight="true" outlineLevel="0" collapsed="false">
      <c r="A31" s="17"/>
      <c r="B31" s="17"/>
      <c r="C31" s="18" t="s">
        <v>102</v>
      </c>
      <c r="D31" s="16" t="n">
        <f aca="false">SUM(D11:D30)</f>
        <v>16840654.05</v>
      </c>
      <c r="E31" s="16" t="n">
        <f aca="false">SUM(E11:E30)</f>
        <v>5052196.215</v>
      </c>
      <c r="F31" s="16" t="n">
        <f aca="false">SUM(F11:F30)</f>
        <v>6736261.62</v>
      </c>
      <c r="G31" s="16" t="n">
        <f aca="false">SUM(G11:G30)</f>
        <v>5052196.215</v>
      </c>
      <c r="H31" s="17"/>
    </row>
    <row r="33" customFormat="false" ht="39.75" hidden="false" customHeight="true" outlineLevel="0" collapsed="false">
      <c r="A33" s="3" t="s">
        <v>103</v>
      </c>
      <c r="B33" s="3"/>
      <c r="C33" s="3"/>
      <c r="D33" s="3"/>
      <c r="E33" s="3"/>
      <c r="F33" s="3"/>
      <c r="G33" s="3"/>
      <c r="H33" s="3"/>
    </row>
  </sheetData>
  <mergeCells count="3">
    <mergeCell ref="A1:H1"/>
    <mergeCell ref="A2:H2"/>
    <mergeCell ref="A33:H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2026-07-14T07:03:40Z</dcterms:created>
  <dc:creator>openpyxl</dc:creator>
  <dc:description/>
  <dc:language>en-US</dc:language>
  <cp:lastModifiedBy/>
  <dcterms:modified xsi:type="dcterms:W3CDTF">2026-07-14T07:29:20Z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