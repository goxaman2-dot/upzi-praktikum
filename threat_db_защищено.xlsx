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F69" lockStructure="1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База_угроз_эталон" sheetId="2" state="veryHidden" r:id="rId2"/>
    <sheet xmlns:r="http://schemas.openxmlformats.org/officeDocument/2006/relationships" name="Бланк_студента" sheetId="3" state="visible" r:id="rId3"/>
    <sheet xmlns:r="http://schemas.openxmlformats.org/officeDocument/2006/relationships" name="Рулетка_проекта" sheetId="4" state="visible" r:id="rId4"/>
    <sheet xmlns:r="http://schemas.openxmlformats.org/officeDocument/2006/relationships" name="Оценка_риска_Дельфи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sz val="14"/>
    </font>
    <font>
      <name val="Times New Roman"/>
      <charset val="1"/>
      <family val="0"/>
      <sz val="12"/>
    </font>
    <font>
      <name val="Times New Roman"/>
      <charset val="1"/>
      <family val="0"/>
      <b val="1"/>
      <sz val="12"/>
    </font>
    <font>
      <name val="Times New Roman"/>
      <charset val="1"/>
      <family val="0"/>
      <sz val="11"/>
    </font>
    <font>
      <name val="Times New Roman"/>
      <charset val="1"/>
      <family val="0"/>
      <i val="1"/>
      <sz val="12"/>
    </font>
    <font>
      <name val="Times New Roman"/>
      <charset val="1"/>
      <family val="0"/>
      <b val="1"/>
      <sz val="13"/>
    </font>
    <font>
      <name val="Times New Roman"/>
      <charset val="1"/>
      <family val="0"/>
      <b val="1"/>
      <color rgb="FFFFFFFF"/>
      <sz val="11"/>
    </font>
    <font>
      <name val="Times New Roman"/>
      <charset val="1"/>
      <family val="0"/>
      <sz val="10.5"/>
    </font>
    <font>
      <name val="Times New Roman"/>
      <charset val="1"/>
      <family val="0"/>
      <i val="1"/>
      <sz val="11"/>
    </font>
    <font>
      <name val="Times New Roman"/>
      <charset val="1"/>
      <family val="0"/>
      <b val="1"/>
      <color rgb="FF1F4E78"/>
      <sz val="12"/>
    </font>
    <font>
      <name val="Times New Roman"/>
      <charset val="1"/>
      <family val="0"/>
      <i val="1"/>
      <color rgb="FF595959"/>
      <sz val="9.5"/>
    </font>
    <font>
      <name val="Times New Roman"/>
      <charset val="1"/>
      <family val="0"/>
      <color rgb="FF808080"/>
      <sz val="10.5"/>
    </font>
    <font>
      <name val="Times New Roman"/>
      <charset val="1"/>
      <family val="0"/>
      <b val="1"/>
      <sz val="10.5"/>
    </font>
    <font>
      <name val="Times New Roman"/>
      <charset val="1"/>
      <family val="0"/>
      <b val="1"/>
      <sz val="11"/>
    </font>
    <font>
      <name val="Times New Roman"/>
      <charset val="1"/>
      <family val="0"/>
      <i val="1"/>
      <color rgb="FFA6A6A6"/>
      <sz val="9"/>
    </font>
    <font>
      <name val="Times New Roman"/>
      <charset val="1"/>
      <family val="0"/>
      <color rgb="FFA6A6A6"/>
      <sz val="9"/>
    </font>
    <font>
      <name val="Times New Roman"/>
      <charset val="1"/>
      <family val="0"/>
      <b val="1"/>
      <color rgb="FFC00000"/>
      <sz val="13"/>
    </font>
    <font>
      <name val="Times New Roman"/>
      <charset val="1"/>
      <family val="0"/>
      <i val="1"/>
      <sz val="9.5"/>
    </font>
    <font>
      <name val="Times New Roman"/>
      <charset val="1"/>
      <family val="0"/>
      <b val="1"/>
      <color rgb="FF1F4E78"/>
      <sz val="11"/>
    </font>
    <font>
      <name val="Times New Roman"/>
      <charset val="1"/>
      <family val="0"/>
      <i val="1"/>
      <sz val="10.5"/>
    </font>
    <font>
      <name val="Times New Roman"/>
      <charset val="1"/>
      <family val="0"/>
      <b val="1"/>
      <color rgb="FFFFFFFF"/>
      <sz val="10.5"/>
    </font>
    <font>
      <name val="Times New Roman"/>
      <charset val="1"/>
      <family val="0"/>
      <sz val="10"/>
    </font>
    <font>
      <name val="Times New Roman"/>
      <charset val="1"/>
      <family val="0"/>
      <b val="1"/>
      <sz val="10"/>
    </font>
    <font>
      <name val="Times New Roman"/>
      <charset val="1"/>
      <family val="0"/>
      <b val="1"/>
      <color rgb="FFC00000"/>
      <sz val="11"/>
    </font>
    <font>
      <name val="Times New Roman"/>
      <charset val="1"/>
      <family val="0"/>
      <b val="1"/>
      <color rgb="FFC00000"/>
      <sz val="12"/>
    </font>
  </fonts>
  <fills count="4">
    <fill>
      <patternFill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top" wrapText="1"/>
    </xf>
    <xf numFmtId="0" fontId="17" fillId="3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0" fillId="0" borderId="2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general" vertical="bottom"/>
    </xf>
    <xf numFmtId="0" fontId="24" fillId="2" borderId="0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general" vertical="center" wrapText="1"/>
    </xf>
    <xf numFmtId="0" fontId="25" fillId="3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13" fillId="3" borderId="0" applyAlignment="1" applyProtection="1" pivotButton="0" quotePrefix="0" xfId="0">
      <alignment horizontal="center" vertical="bottom"/>
      <protection locked="0" hidden="0"/>
    </xf>
    <xf numFmtId="0" fontId="0" fillId="3" borderId="0" applyAlignment="1" applyProtection="1" pivotButton="0" quotePrefix="0" xfId="0">
      <alignment horizontal="general" vertical="bottom"/>
      <protection locked="0" hidden="0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center" vertical="bottom"/>
      <protection locked="0" hidden="0"/>
    </xf>
    <xf numFmtId="0" fontId="15" fillId="0" borderId="1" applyAlignment="1" applyProtection="1" pivotButton="0" quotePrefix="0" xfId="0">
      <alignment horizontal="center" vertical="bottom"/>
      <protection locked="1" hidden="1"/>
    </xf>
    <xf numFmtId="0" fontId="16" fillId="0" borderId="1" applyAlignment="1" applyProtection="1" pivotButton="0" quotePrefix="0" xfId="0">
      <alignment horizontal="center" vertical="bottom"/>
      <protection locked="1" hidden="1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general" vertical="bottom"/>
    </xf>
    <xf numFmtId="0" fontId="17" fillId="0" borderId="0" applyAlignment="1" applyProtection="1" pivotButton="0" quotePrefix="0" xfId="0">
      <alignment horizontal="general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0" hidden="0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0" fillId="2" borderId="0" applyAlignment="1" applyProtection="1" pivotButton="0" quotePrefix="0" xfId="0">
      <alignment horizontal="center" vertical="bottom" wrapText="1"/>
      <protection locked="0" hidden="0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11" fillId="0" borderId="0" applyAlignment="1" applyProtection="1" pivotButton="0" quotePrefix="0" xfId="0">
      <alignment horizontal="general" vertical="center" wrapText="1"/>
      <protection locked="0" hidden="0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0" fillId="3" borderId="0" applyAlignment="1" pivotButton="0" quotePrefix="0" xfId="0">
      <alignment horizontal="center" vertical="bottom"/>
    </xf>
    <xf numFmtId="0" fontId="21" fillId="0" borderId="0" applyAlignment="1" applyProtection="1" pivotButton="0" quotePrefix="0" xfId="0">
      <alignment horizontal="general" vertical="top" wrapText="1"/>
      <protection locked="0" hidden="0"/>
    </xf>
    <xf numFmtId="0" fontId="17" fillId="0" borderId="0" applyAlignment="1" applyProtection="1" pivotButton="0" quotePrefix="0" xfId="0">
      <alignment horizontal="general" vertical="bottom"/>
      <protection locked="0" hidden="0"/>
    </xf>
    <xf numFmtId="0" fontId="17" fillId="3" borderId="0" applyAlignment="1" applyProtection="1" pivotButton="0" quotePrefix="0" xfId="0">
      <alignment horizontal="center" vertical="bottom"/>
      <protection locked="0" hidden="0"/>
    </xf>
    <xf numFmtId="0" fontId="22" fillId="0" borderId="0" applyAlignment="1" pivotButton="0" quotePrefix="0" xfId="0">
      <alignment horizontal="center" vertical="bottom"/>
    </xf>
    <xf numFmtId="0" fontId="7" fillId="0" borderId="0" applyAlignment="1" applyProtection="1" pivotButton="0" quotePrefix="0" xfId="0">
      <alignment horizontal="general" vertical="bottom"/>
      <protection locked="0" hidden="0"/>
    </xf>
    <xf numFmtId="0" fontId="0" fillId="0" borderId="2" applyAlignment="1" applyProtection="1" pivotButton="0" quotePrefix="0" xfId="0">
      <alignment horizontal="left" vertical="top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3" fillId="0" borderId="0" applyAlignment="1" applyProtection="1" pivotButton="0" quotePrefix="0" xfId="0">
      <alignment horizontal="general" vertical="top" wrapText="1"/>
      <protection locked="0" hidden="0"/>
    </xf>
    <xf numFmtId="0" fontId="23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4" fillId="2" borderId="0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general" vertical="center" wrapText="1"/>
    </xf>
    <xf numFmtId="0" fontId="25" fillId="3" borderId="1" applyAlignment="1" applyProtection="1" pivotButton="0" quotePrefix="0" xfId="0">
      <alignment horizontal="center" vertical="bottom"/>
      <protection locked="0" hidden="0"/>
    </xf>
    <xf numFmtId="0" fontId="26" fillId="0" borderId="1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44" min="1" max="1"/>
  </cols>
  <sheetData>
    <row r="1" ht="19.5" customHeight="1" s="45">
      <c r="A1" s="46" t="inlineStr">
        <is>
          <t>Единая база угроз и рулетка типов проектов ИБ (2026 г.)</t>
        </is>
      </c>
    </row>
    <row r="2" ht="19.5" customHeight="1" s="45">
      <c r="A2" s="47" t="n"/>
    </row>
    <row r="3" ht="19.5" customHeight="1" s="45">
      <c r="A3" s="48" t="inlineStr">
        <is>
          <t>Состав файла</t>
        </is>
      </c>
    </row>
    <row r="4" ht="117.75" customHeight="1" s="45">
      <c r="A4" s="47" t="inlineStr">
        <is>
          <t>Лист «База_угроз_эталон» — 70 угроз по семи категориям, с экспертной отметкой актуальности по пяти типам объекта защиты (столбцы G-K) и с указанием профильного типа проекта ИБ (столбец L), который наиболее прямо связан с этой угрозой. База расширена по сравнению с версией из 47 угроз: добавлены угрозы, специфичные для программно-аппаратных проектов (МЭ/NGFW, DLP, IAM/MFA/SSO, SIEM/SOC, Backup/DR, СКЗИ) и организационно-административных проектов (политика ИБ, категорирование КИИ, 152-ФЗ, паспорт безопасности, аудит/пентест, обучение персонала). Лист рекомендуется скрыть или защитить паролем перед выдачей студентам — он является эталоном (ключом) для преподавателя.</t>
        </is>
      </c>
    </row>
    <row r="5" ht="19.5" customHeight="1" s="45">
      <c r="A5" s="47" t="n"/>
    </row>
    <row r="6" ht="33.75" customHeight="1" s="45">
      <c r="A6" s="47" t="inlineStr">
        <is>
          <t>Лист «Бланк_студента» — выбор объекта защиты (B3), ручная простановка флажков по угрозам и автоматическая сверка с эталоном.</t>
        </is>
      </c>
    </row>
    <row r="7" ht="19.5" customHeight="1" s="45">
      <c r="A7" s="47" t="n"/>
    </row>
    <row r="8" ht="132" customHeight="1" s="45">
      <c r="A8" s="47" t="inlineStr">
        <is>
          <t>Лист «Рулетка_проекта» — механика выбора типа проекта ИБ. Все 20 типов проектов сгруппированы в три «сундука»: I — инженерно-технические средства охраны (ИТСО), II — программно-аппаратный проект ИБ, III — организационно-административный проект. Выбор типа проекта — случайный (клавиша F9 пересчитывает лист, формула выбирает новый вариант) и НЕ фильтруется по ранее выбранному объекту защиты: комбинация может оказаться нереалистичной (например, «Частный дом» + «Категорирование КИИ»). Это сделано намеренно: если выпавшая комбинация не имеет смысла, студент обязан письменно обосновать, почему проект неприменим к данному заказчику, и предложить разумную замену. Такое задание тренирует именно то пограничное суждение, которое хуже всего поддаётся автоматизации ИИ — в отличие от прямой подстановки по заранее заданному фильтру.</t>
        </is>
      </c>
    </row>
    <row r="9" ht="19.5" customHeight="1" s="45">
      <c r="A9" s="47" t="n"/>
    </row>
    <row r="10" ht="19.5" customHeight="1" s="45">
      <c r="A10" s="48" t="inlineStr">
        <is>
          <t>Как крутить рулетку без F9 (важно для клавиатуры Mac)</t>
        </is>
      </c>
    </row>
    <row r="11" ht="90" customHeight="1" s="45">
      <c r="A11" s="47" t="inlineStr">
        <is>
          <t>Клавиша F9 на Mac по умолчанию отвечает за яркость экрана, поэтому вызывать пересчёт клавишей F9 неудобно. Формула рулетки использует функцию RANDBETWEEN, которая является «волатильной» и пересчитывается автоматически при ЛЮБОМ изменении в любой ячейке книги — не только по F9. На листе «Рулетка_проекта» рядом с результатом добавлена ячейка «Крутить»: кликните в неё, введите любое число и нажмите Enter — рулетка пересчитается сама. Кто предпочитает клавиатуру: на Mac это Fn+F9 (или Cmd+= в некоторых версиях Excel), на Windows — F9.</t>
        </is>
      </c>
    </row>
    <row r="12" ht="19.5" customHeight="1" s="45">
      <c r="A12" s="47" t="n"/>
    </row>
    <row r="13" ht="19.5" customHeight="1" s="45">
      <c r="A13" s="48" t="inlineStr">
        <is>
          <t>Лист «Оценка_риска_Дельфи» — балльная оценка текущего риска объекта ДО внедрения проекта ИБ.</t>
        </is>
      </c>
    </row>
    <row r="14" ht="201.75" customHeight="1" s="45">
      <c r="A14" s="47" t="inlineStr">
        <is>
          <t>Метод: Риск = Вероятность (P) x Тяжесть ущерба (I), P и I оцениваются по шкале 1-5 двумя экспертами (студент и приглашённый одногруппник) независимо друг от друга — раунд 1. При расхождении оценок на 2 балла и более лист помечает угрозу «обсудите (раунд 2)»: эксперты обсуждают и вписывают согласованные P и I вручную поверх формулы-подсказки (среднего). Это воспроизводит ключевой механизм метода Дельфи (независимая оценка + управляемое схождение мнений) в уменьшенном для аудитории виде: классический Дельфи предполагает 7 и более анонимных экспертов и нескольких туров через фасилитатора, поэтому версия с двумя экспертами — учебное упрощение, а не полная реализация метода. Балл риска считается только по угрозам, отмеченным флажком на листе «Бланк_студента». Альтернативные методы: метод Саати (МАИ, попарные сравнения весов категорий угроз) точнее учитывает относительную важность категорий, но требует построения матриц попарных сравнений и проверки индекса согласованности; метод Монте-Карло даёт доверительный интервал ущерба через имитационное моделирование по распределениям вероятностей, но требует статистических данных по каждой угрозе, которых на уровне учебного проекта обычно нет. Для аудиторной работы с двумя экспертами балльный Дельфи-подход остаётся наиболее реализуемым.</t>
        </is>
      </c>
    </row>
    <row r="15" ht="19.5" customHeight="1" s="45">
      <c r="A15" s="47" t="n"/>
    </row>
    <row r="16" ht="19.5" customHeight="1" s="45">
      <c r="A16" s="48" t="inlineStr">
        <is>
          <t>Источники</t>
        </is>
      </c>
    </row>
    <row r="17" ht="19.5" customHeight="1" s="45">
      <c r="A17" s="49" t="inlineStr">
        <is>
          <t>1. Банк данных угроз безопасности информации ФСТЭК России — https://bdu.fstec.ru/threat</t>
        </is>
      </c>
    </row>
    <row r="18" ht="19.5" customHeight="1" s="45">
      <c r="A18" s="49" t="inlineStr">
        <is>
          <t>2. Методика оценки угроз безопасности информации, утв. ФСТЭК России 05.02.2021</t>
        </is>
      </c>
    </row>
    <row r="19" ht="19.5" customHeight="1" s="45">
      <c r="A19" s="49" t="inlineStr">
        <is>
          <t>3. Постановление Правительства РФ от 02.08.2019 №1006</t>
        </is>
      </c>
    </row>
    <row r="20" ht="19.5" customHeight="1" s="45">
      <c r="A20" s="49" t="inlineStr">
        <is>
          <t>4. ФЗ №187-ФЗ «О безопасности КИИ»; ФЗ №152-ФЗ «О персональных данных»</t>
        </is>
      </c>
    </row>
    <row r="21" ht="19.5" customHeight="1" s="45">
      <c r="A21" s="49" t="inlineStr">
        <is>
          <t>5. MITRE ATT&amp;CK Enterprise/ICS — https://attack.mitre.org</t>
        </is>
      </c>
    </row>
    <row r="22" ht="19.5" customHeight="1" s="45">
      <c r="A22" s="49" t="inlineStr">
        <is>
          <t>6. PT Security CODE RED 2026; УЦСБ SOC 2025/2026; Gartner (прогнозы SOC/SIEM, 2026)</t>
        </is>
      </c>
    </row>
    <row r="23" ht="19.5" customHeight="1" s="45">
      <c r="A23" s="49" t="inlineStr">
        <is>
          <t>7. NIST IR 8547 (график вывода RSA-2048/ECDSA); прогнозы Q-day — Zscaler, QRAMM</t>
        </is>
      </c>
    </row>
    <row r="24" ht="19.5" customHeight="1" s="45">
      <c r="A24" s="49" t="inlineStr">
        <is>
          <t>8. CPTED-практика оценки защищённости частных объектов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44" min="1" max="1"/>
    <col width="26" customWidth="1" style="44" min="2" max="2"/>
    <col width="10" customWidth="1" style="44" min="3" max="3"/>
    <col width="34" customWidth="1" style="44" min="4" max="4"/>
    <col width="44" customWidth="1" style="44" min="5" max="5"/>
    <col width="26" customWidth="1" style="44" min="6" max="6"/>
    <col width="11" customWidth="1" style="44" min="7" max="10"/>
    <col width="16" customWidth="1" style="44" min="11" max="11"/>
    <col width="30" customWidth="1" style="44" min="12" max="12"/>
  </cols>
  <sheetData>
    <row r="1" ht="15" customHeight="1" s="45">
      <c r="A1" s="50" t="inlineStr">
        <is>
          <t>Таблица 1</t>
        </is>
      </c>
    </row>
    <row r="2" ht="16.15" customHeight="1" s="45">
      <c r="A2" s="51" t="inlineStr">
        <is>
          <t>Единая база данных угроз безопасности объекта заказчика (ландшафт угроз ИБ, 2026 г.)</t>
        </is>
      </c>
    </row>
    <row r="4" ht="37.3" customHeight="1" s="45">
      <c r="A4" s="52" t="inlineStr">
        <is>
          <t>№</t>
        </is>
      </c>
      <c r="B4" s="52" t="inlineStr">
        <is>
          <t>Категория</t>
        </is>
      </c>
      <c r="C4" s="52" t="inlineStr">
        <is>
          <t>Код</t>
        </is>
      </c>
      <c r="D4" s="52" t="inlineStr">
        <is>
          <t>Наименование угрозы</t>
        </is>
      </c>
      <c r="E4" s="52" t="inlineStr">
        <is>
          <t>Типовое проявление / описание</t>
        </is>
      </c>
      <c r="F4" s="52" t="inlineStr">
        <is>
          <t>Источник</t>
        </is>
      </c>
      <c r="G4" s="52" t="inlineStr">
        <is>
          <t>Частный дом</t>
        </is>
      </c>
      <c r="H4" s="52" t="inlineStr">
        <is>
          <t>Офис/фирма</t>
        </is>
      </c>
      <c r="I4" s="52" t="inlineStr">
        <is>
          <t>Завод/фабрика</t>
        </is>
      </c>
      <c r="J4" s="52" t="inlineStr">
        <is>
          <t>Школа</t>
        </is>
      </c>
      <c r="K4" s="52" t="inlineStr">
        <is>
          <t>Бюджетная организация (МФЦ)</t>
        </is>
      </c>
      <c r="L4" s="52" t="inlineStr">
        <is>
          <t>Профильный тип проекта</t>
        </is>
      </c>
    </row>
    <row r="5" ht="23.85" customHeight="1" s="45">
      <c r="A5" s="53" t="n">
        <v>1</v>
      </c>
      <c r="B5" s="54" t="inlineStr">
        <is>
          <t>Информационно-технические (кибер)</t>
        </is>
      </c>
      <c r="C5" s="55" t="inlineStr">
        <is>
          <t>У-ИБ-01</t>
        </is>
      </c>
      <c r="D5" s="54" t="inlineStr">
        <is>
          <t>Внедрение вредоносного программного обеспечения</t>
        </is>
      </c>
      <c r="E5" s="54" t="inlineStr">
        <is>
          <t>Заражение вирусом, червём, трояном через вложение, сайт или съёмный носитель</t>
        </is>
      </c>
      <c r="F5" s="54" t="inlineStr">
        <is>
          <t>БДУ ФСТЭК (bdu.fstec.ru)</t>
        </is>
      </c>
      <c r="G5" s="56" t="inlineStr">
        <is>
          <t>X</t>
        </is>
      </c>
      <c r="H5" s="56" t="inlineStr">
        <is>
          <t>X</t>
        </is>
      </c>
      <c r="I5" s="56" t="inlineStr">
        <is>
          <t>X</t>
        </is>
      </c>
      <c r="J5" s="56" t="inlineStr">
        <is>
          <t>X</t>
        </is>
      </c>
      <c r="K5" s="56" t="inlineStr">
        <is>
          <t>X</t>
        </is>
      </c>
      <c r="L5" s="54" t="inlineStr">
        <is>
          <t>Антивирус корпоративного класса / EDR</t>
        </is>
      </c>
    </row>
    <row r="6" ht="23.85" customHeight="1" s="45">
      <c r="A6" s="53" t="n">
        <v>2</v>
      </c>
      <c r="B6" s="54" t="inlineStr">
        <is>
          <t>Информационно-технические (кибер)</t>
        </is>
      </c>
      <c r="C6" s="55" t="inlineStr">
        <is>
          <t>У-ИБ-02</t>
        </is>
      </c>
      <c r="D6" s="54" t="inlineStr">
        <is>
          <t>Атака программы-вымогателя (ransomware)</t>
        </is>
      </c>
      <c r="E6" s="54" t="inlineStr">
        <is>
          <t>Шифрование данных объекта с требованием выкупа за расшифровку</t>
        </is>
      </c>
      <c r="F6" s="54" t="inlineStr">
        <is>
          <t>БДУ ФСТЭК; отчёт PT Security CODE RED 2026</t>
        </is>
      </c>
      <c r="G6" s="56" t="inlineStr">
        <is>
          <t>X</t>
        </is>
      </c>
      <c r="H6" s="56" t="inlineStr">
        <is>
          <t>X</t>
        </is>
      </c>
      <c r="I6" s="56" t="inlineStr">
        <is>
          <t>X</t>
        </is>
      </c>
      <c r="J6" s="56" t="inlineStr">
        <is>
          <t>X</t>
        </is>
      </c>
      <c r="K6" s="56" t="inlineStr">
        <is>
          <t>X</t>
        </is>
      </c>
      <c r="L6" s="54" t="inlineStr">
        <is>
          <t>Антивирус корпоративного класса / EDR</t>
        </is>
      </c>
    </row>
    <row r="7" ht="23.85" customHeight="1" s="45">
      <c r="A7" s="53" t="n">
        <v>3</v>
      </c>
      <c r="B7" s="54" t="inlineStr">
        <is>
          <t>Информационно-технические (кибер)</t>
        </is>
      </c>
      <c r="C7" s="55" t="inlineStr">
        <is>
          <t>У-ИБ-03</t>
        </is>
      </c>
      <c r="D7" s="54" t="inlineStr">
        <is>
          <t>Двойное/тройное вымогательство</t>
        </is>
      </c>
      <c r="E7" s="54" t="inlineStr">
        <is>
          <t>Шифрование + кража данных + угроза публикации при отказе платить</t>
        </is>
      </c>
      <c r="F7" s="54" t="inlineStr">
        <is>
          <t>PT Security CODE RED 2026; УЦСБ SOC 2025/2026</t>
        </is>
      </c>
      <c r="G7" s="56" t="n"/>
      <c r="H7" s="56" t="inlineStr">
        <is>
          <t>X</t>
        </is>
      </c>
      <c r="I7" s="56" t="inlineStr">
        <is>
          <t>X</t>
        </is>
      </c>
      <c r="J7" s="56" t="n"/>
      <c r="K7" s="56" t="inlineStr">
        <is>
          <t>X</t>
        </is>
      </c>
      <c r="L7" s="54" t="inlineStr">
        <is>
          <t>Резервное копирование и восстановление (Backup/DR)</t>
        </is>
      </c>
    </row>
    <row r="8" ht="35.05" customHeight="1" s="45">
      <c r="A8" s="53" t="n">
        <v>4</v>
      </c>
      <c r="B8" s="54" t="inlineStr">
        <is>
          <t>Информационно-технические (кибер)</t>
        </is>
      </c>
      <c r="C8" s="55" t="inlineStr">
        <is>
          <t>У-ИБ-04</t>
        </is>
      </c>
      <c r="D8" s="54" t="inlineStr">
        <is>
          <t>Фишинговая рассылка</t>
        </is>
      </c>
      <c r="E8" s="54" t="inlineStr">
        <is>
          <t>Массовая рассылка писем с целью получить учётные данные или запустить вредоносный файл</t>
        </is>
      </c>
      <c r="F8" s="54" t="inlineStr">
        <is>
          <t>БДУ ФСТЭК; УЦСБ SOC 2025/2026 (60% атак с соц. инженерией)</t>
        </is>
      </c>
      <c r="G8" s="56" t="inlineStr">
        <is>
          <t>X</t>
        </is>
      </c>
      <c r="H8" s="56" t="inlineStr">
        <is>
          <t>X</t>
        </is>
      </c>
      <c r="I8" s="56" t="inlineStr">
        <is>
          <t>X</t>
        </is>
      </c>
      <c r="J8" s="56" t="inlineStr">
        <is>
          <t>X</t>
        </is>
      </c>
      <c r="K8" s="56" t="inlineStr">
        <is>
          <t>X</t>
        </is>
      </c>
      <c r="L8" s="54" t="inlineStr">
        <is>
          <t>Программа обучения персонала (security awareness)</t>
        </is>
      </c>
    </row>
    <row r="9" ht="23.85" customHeight="1" s="45">
      <c r="A9" s="53" t="n">
        <v>5</v>
      </c>
      <c r="B9" s="54" t="inlineStr">
        <is>
          <t>Информационно-технические (кибер)</t>
        </is>
      </c>
      <c r="C9" s="55" t="inlineStr">
        <is>
          <t>У-ИБ-05</t>
        </is>
      </c>
      <c r="D9" s="54" t="inlineStr">
        <is>
          <t>Целевой фишинг (spear-phishing)</t>
        </is>
      </c>
      <c r="E9" s="54" t="inlineStr">
        <is>
          <t>Персонализированная атака на конкретного сотрудника, инженера, администратора</t>
        </is>
      </c>
      <c r="F9" s="54" t="inlineStr">
        <is>
          <t>MITRE ATT&amp;CK (T1566.001)</t>
        </is>
      </c>
      <c r="G9" s="56" t="n"/>
      <c r="H9" s="56" t="inlineStr">
        <is>
          <t>X</t>
        </is>
      </c>
      <c r="I9" s="56" t="inlineStr">
        <is>
          <t>X</t>
        </is>
      </c>
      <c r="J9" s="56" t="inlineStr">
        <is>
          <t>X</t>
        </is>
      </c>
      <c r="K9" s="56" t="inlineStr">
        <is>
          <t>X</t>
        </is>
      </c>
      <c r="L9" s="54" t="inlineStr">
        <is>
          <t>Программа обучения персонала (security awareness)</t>
        </is>
      </c>
    </row>
    <row r="10" ht="23.85" customHeight="1" s="45">
      <c r="A10" s="53" t="n">
        <v>6</v>
      </c>
      <c r="B10" s="54" t="inlineStr">
        <is>
          <t>Информационно-технические (кибер)</t>
        </is>
      </c>
      <c r="C10" s="55" t="inlineStr">
        <is>
          <t>У-ИБ-06</t>
        </is>
      </c>
      <c r="D10" s="54" t="inlineStr">
        <is>
          <t>Несанкционированный доступ через компрометацию пароля</t>
        </is>
      </c>
      <c r="E10" s="54" t="inlineStr">
        <is>
          <t>Подбор, перехват или покупка учётных данных на теневых форумах</t>
        </is>
      </c>
      <c r="F10" s="54" t="inlineStr">
        <is>
          <t>БДУ ФСТЭК</t>
        </is>
      </c>
      <c r="G10" s="56" t="inlineStr">
        <is>
          <t>X</t>
        </is>
      </c>
      <c r="H10" s="56" t="inlineStr">
        <is>
          <t>X</t>
        </is>
      </c>
      <c r="I10" s="56" t="inlineStr">
        <is>
          <t>X</t>
        </is>
      </c>
      <c r="J10" s="56" t="inlineStr">
        <is>
          <t>X</t>
        </is>
      </c>
      <c r="K10" s="56" t="inlineStr">
        <is>
          <t>X</t>
        </is>
      </c>
      <c r="L10" s="54" t="inlineStr">
        <is>
          <t>IAM / MFA / SSO</t>
        </is>
      </c>
    </row>
    <row r="11" ht="23.85" customHeight="1" s="45">
      <c r="A11" s="53" t="n">
        <v>7</v>
      </c>
      <c r="B11" s="54" t="inlineStr">
        <is>
          <t>Информационно-технические (кибер)</t>
        </is>
      </c>
      <c r="C11" s="55" t="inlineStr">
        <is>
          <t>У-ИБ-07</t>
        </is>
      </c>
      <c r="D11" s="54" t="inlineStr">
        <is>
          <t>Эксплуатация уязвимостей ПО (включая 0-day)</t>
        </is>
      </c>
      <c r="E11" s="54" t="inlineStr">
        <is>
          <t>Использование известной или ранее неизвестной уязвимости для получения доступа</t>
        </is>
      </c>
      <c r="F11" s="54" t="inlineStr">
        <is>
          <t>БДУ ФСТЭК (78 120 уязвимостей на 10.2025)</t>
        </is>
      </c>
      <c r="G11" s="56" t="n"/>
      <c r="H11" s="56" t="inlineStr">
        <is>
          <t>X</t>
        </is>
      </c>
      <c r="I11" s="56" t="inlineStr">
        <is>
          <t>X</t>
        </is>
      </c>
      <c r="J11" s="56" t="inlineStr">
        <is>
          <t>X</t>
        </is>
      </c>
      <c r="K11" s="56" t="inlineStr">
        <is>
          <t>X</t>
        </is>
      </c>
      <c r="L11" s="54" t="inlineStr">
        <is>
          <t>Аудит / пентест информационной безопасности</t>
        </is>
      </c>
    </row>
    <row r="12" ht="23.85" customHeight="1" s="45">
      <c r="A12" s="53" t="n">
        <v>8</v>
      </c>
      <c r="B12" s="54" t="inlineStr">
        <is>
          <t>Информационно-технические (кибер)</t>
        </is>
      </c>
      <c r="C12" s="55" t="inlineStr">
        <is>
          <t>У-ИБ-08</t>
        </is>
      </c>
      <c r="D12" s="54" t="inlineStr">
        <is>
          <t>DDoS-атака</t>
        </is>
      </c>
      <c r="E12" s="54" t="inlineStr">
        <is>
          <t>Массированные ложные запросы, приводящие к отказу сайта/сервиса (простою)</t>
        </is>
      </c>
      <c r="F12" s="54" t="inlineStr">
        <is>
          <t>БДУ ФСТЭК</t>
        </is>
      </c>
      <c r="G12" s="56" t="n"/>
      <c r="H12" s="56" t="inlineStr">
        <is>
          <t>X</t>
        </is>
      </c>
      <c r="I12" s="56" t="inlineStr">
        <is>
          <t>X</t>
        </is>
      </c>
      <c r="J12" s="56" t="inlineStr">
        <is>
          <t>X</t>
        </is>
      </c>
      <c r="K12" s="56" t="inlineStr">
        <is>
          <t>X</t>
        </is>
      </c>
      <c r="L12" s="54" t="inlineStr">
        <is>
          <t>Межсетевой экран / NGFW</t>
        </is>
      </c>
    </row>
    <row r="13" ht="23.85" customHeight="1" s="45">
      <c r="A13" s="53" t="n">
        <v>9</v>
      </c>
      <c r="B13" s="54" t="inlineStr">
        <is>
          <t>Информационно-технические (кибер)</t>
        </is>
      </c>
      <c r="C13" s="55" t="inlineStr">
        <is>
          <t>У-ИБ-09</t>
        </is>
      </c>
      <c r="D13" s="54" t="inlineStr">
        <is>
          <t>Атака «человек посередине» (MITM)</t>
        </is>
      </c>
      <c r="E13" s="54" t="inlineStr">
        <is>
          <t>Перехват и подмена трафика в незащищённой (в т.ч. домашней) сети</t>
        </is>
      </c>
      <c r="F13" s="54" t="inlineStr">
        <is>
          <t>БДУ ФСТЭК</t>
        </is>
      </c>
      <c r="G13" s="56" t="inlineStr">
        <is>
          <t>X</t>
        </is>
      </c>
      <c r="H13" s="56" t="inlineStr">
        <is>
          <t>X</t>
        </is>
      </c>
      <c r="I13" s="56" t="inlineStr">
        <is>
          <t>X</t>
        </is>
      </c>
      <c r="J13" s="56" t="inlineStr">
        <is>
          <t>X</t>
        </is>
      </c>
      <c r="K13" s="56" t="inlineStr">
        <is>
          <t>X</t>
        </is>
      </c>
      <c r="L13" s="54" t="inlineStr">
        <is>
          <t>Криптографическая защита каналов и данных (СКЗИ)</t>
        </is>
      </c>
    </row>
    <row r="14" ht="23.85" customHeight="1" s="45">
      <c r="A14" s="53" t="n">
        <v>10</v>
      </c>
      <c r="B14" s="54" t="inlineStr">
        <is>
          <t>Информационно-технические (кибер)</t>
        </is>
      </c>
      <c r="C14" s="55" t="inlineStr">
        <is>
          <t>У-ИБ-10</t>
        </is>
      </c>
      <c r="D14" s="54" t="inlineStr">
        <is>
          <t>Компрометация контейнеризированных сред</t>
        </is>
      </c>
      <c r="E14" s="54" t="inlineStr">
        <is>
          <t>Модификация образов, нарушение изоляции/целостности контейнеров</t>
        </is>
      </c>
      <c r="F14" s="54" t="inlineStr">
        <is>
          <t>БДУ ФСТЭК, обновление июнь 2025</t>
        </is>
      </c>
      <c r="G14" s="56" t="n"/>
      <c r="H14" s="56" t="inlineStr">
        <is>
          <t>X</t>
        </is>
      </c>
      <c r="I14" s="56" t="inlineStr">
        <is>
          <t>X</t>
        </is>
      </c>
      <c r="J14" s="56" t="n"/>
      <c r="K14" s="56" t="inlineStr">
        <is>
          <t>X</t>
        </is>
      </c>
      <c r="L14" s="54" t="inlineStr">
        <is>
          <t>Аудит / пентест информационной безопасности</t>
        </is>
      </c>
    </row>
    <row r="15" ht="35.05" customHeight="1" s="45">
      <c r="A15" s="53" t="n">
        <v>11</v>
      </c>
      <c r="B15" s="54" t="inlineStr">
        <is>
          <t>Информационно-технические (кибер)</t>
        </is>
      </c>
      <c r="C15" s="55" t="inlineStr">
        <is>
          <t>У-ИБ-11</t>
        </is>
      </c>
      <c r="D15" s="54" t="inlineStr">
        <is>
          <t>Угрозы систем искусственного интеллекта</t>
        </is>
      </c>
      <c r="E15" s="54" t="inlineStr">
        <is>
          <t>Отравление данных (data poisoning), состязательные атаки, некорректные решения ИИ-модели</t>
        </is>
      </c>
      <c r="F15" s="54" t="inlineStr">
        <is>
          <t>БДУ ФСТЭК, раздел «Угрозы систем ИИ» (2025)</t>
        </is>
      </c>
      <c r="G15" s="56" t="n"/>
      <c r="H15" s="56" t="inlineStr">
        <is>
          <t>X</t>
        </is>
      </c>
      <c r="I15" s="56" t="inlineStr">
        <is>
          <t>X</t>
        </is>
      </c>
      <c r="J15" s="56" t="n"/>
      <c r="K15" s="56" t="inlineStr">
        <is>
          <t>X</t>
        </is>
      </c>
      <c r="L15" s="54" t="inlineStr">
        <is>
          <t>Разработка политики и регламентов ИБ</t>
        </is>
      </c>
    </row>
    <row r="16" ht="23.85" customHeight="1" s="45">
      <c r="A16" s="53" t="n">
        <v>12</v>
      </c>
      <c r="B16" s="54" t="inlineStr">
        <is>
          <t>Информационно-технические (кибер)</t>
        </is>
      </c>
      <c r="C16" s="55" t="inlineStr">
        <is>
          <t>У-ИБ-12</t>
        </is>
      </c>
      <c r="D16" s="54" t="inlineStr">
        <is>
          <t>Мошенничество с использованием deepfake</t>
        </is>
      </c>
      <c r="E16" s="54" t="inlineStr">
        <is>
          <t>Поддельные голос/видео руководителя, инженера или родственника для выманивания денег/данных</t>
        </is>
      </c>
      <c r="F16" s="54" t="inlineStr">
        <is>
          <t>PT Security CODE RED 2026</t>
        </is>
      </c>
      <c r="G16" s="56" t="inlineStr">
        <is>
          <t>X</t>
        </is>
      </c>
      <c r="H16" s="56" t="inlineStr">
        <is>
          <t>X</t>
        </is>
      </c>
      <c r="I16" s="56" t="inlineStr">
        <is>
          <t>X</t>
        </is>
      </c>
      <c r="J16" s="56" t="inlineStr">
        <is>
          <t>X</t>
        </is>
      </c>
      <c r="K16" s="56" t="inlineStr">
        <is>
          <t>X</t>
        </is>
      </c>
      <c r="L16" s="54" t="inlineStr">
        <is>
          <t>Программа обучения персонала (security awareness)</t>
        </is>
      </c>
    </row>
    <row r="17" ht="23.85" customHeight="1" s="45">
      <c r="A17" s="53" t="n">
        <v>13</v>
      </c>
      <c r="B17" s="54" t="inlineStr">
        <is>
          <t>Информационно-технические (кибер)</t>
        </is>
      </c>
      <c r="C17" s="55" t="inlineStr">
        <is>
          <t>У-ИБ-13</t>
        </is>
      </c>
      <c r="D17" s="54" t="inlineStr">
        <is>
          <t>Утечка конфиденциальной информации по незащищённым каналам</t>
        </is>
      </c>
      <c r="E17" s="54" t="inlineStr">
        <is>
          <t>Передача данных через личную почту, мессенджеры, незашифрованные носители</t>
        </is>
      </c>
      <c r="F17" s="54" t="inlineStr">
        <is>
          <t>БДУ ФСТЭК</t>
        </is>
      </c>
      <c r="G17" s="56" t="inlineStr">
        <is>
          <t>X</t>
        </is>
      </c>
      <c r="H17" s="56" t="inlineStr">
        <is>
          <t>X</t>
        </is>
      </c>
      <c r="I17" s="56" t="inlineStr">
        <is>
          <t>X</t>
        </is>
      </c>
      <c r="J17" s="56" t="inlineStr">
        <is>
          <t>X</t>
        </is>
      </c>
      <c r="K17" s="56" t="inlineStr">
        <is>
          <t>X</t>
        </is>
      </c>
      <c r="L17" s="54" t="inlineStr">
        <is>
          <t>DLP-система</t>
        </is>
      </c>
    </row>
    <row r="18" ht="23.85" customHeight="1" s="45">
      <c r="A18" s="53" t="n">
        <v>14</v>
      </c>
      <c r="B18" s="54" t="inlineStr">
        <is>
          <t>Информационно-технические (кибер)</t>
        </is>
      </c>
      <c r="C18" s="55" t="inlineStr">
        <is>
          <t>У-ИБ-14</t>
        </is>
      </c>
      <c r="D18" s="54" t="inlineStr">
        <is>
          <t>Компрометация облачной инфраструктуры</t>
        </is>
      </c>
      <c r="E18" s="54" t="inlineStr">
        <is>
          <t>Ошибки конфигурации прав доступа, публичные незащищённые хранилища</t>
        </is>
      </c>
      <c r="F18" s="54" t="inlineStr">
        <is>
          <t>БДУ ФСТЭК</t>
        </is>
      </c>
      <c r="G18" s="56" t="n"/>
      <c r="H18" s="56" t="inlineStr">
        <is>
          <t>X</t>
        </is>
      </c>
      <c r="I18" s="56" t="inlineStr">
        <is>
          <t>X</t>
        </is>
      </c>
      <c r="J18" s="56" t="inlineStr">
        <is>
          <t>X</t>
        </is>
      </c>
      <c r="K18" s="56" t="inlineStr">
        <is>
          <t>X</t>
        </is>
      </c>
      <c r="L18" s="54" t="inlineStr">
        <is>
          <t>Аудит / пентест информационной безопасности</t>
        </is>
      </c>
    </row>
    <row r="19" ht="23.85" customHeight="1" s="45">
      <c r="A19" s="53" t="n">
        <v>15</v>
      </c>
      <c r="B19" s="54" t="inlineStr">
        <is>
          <t>Информационно-технические (кибер)</t>
        </is>
      </c>
      <c r="C19" s="55" t="inlineStr">
        <is>
          <t>У-ИБ-15</t>
        </is>
      </c>
      <c r="D19" s="54" t="inlineStr">
        <is>
          <t>Несанкционированный доступ к Wi-Fi сети</t>
        </is>
      </c>
      <c r="E19" s="54" t="inlineStr">
        <is>
          <t>Подключение к слабо защищённой беспроводной сети объекта</t>
        </is>
      </c>
      <c r="F19" s="54" t="inlineStr">
        <is>
          <t>БДУ ФСТЭК</t>
        </is>
      </c>
      <c r="G19" s="56" t="inlineStr">
        <is>
          <t>X</t>
        </is>
      </c>
      <c r="H19" s="56" t="inlineStr">
        <is>
          <t>X</t>
        </is>
      </c>
      <c r="I19" s="56" t="inlineStr">
        <is>
          <t>X</t>
        </is>
      </c>
      <c r="J19" s="56" t="inlineStr">
        <is>
          <t>X</t>
        </is>
      </c>
      <c r="K19" s="56" t="inlineStr">
        <is>
          <t>X</t>
        </is>
      </c>
      <c r="L19" s="54" t="inlineStr">
        <is>
          <t>Межсетевой экран / NGFW</t>
        </is>
      </c>
    </row>
    <row r="20" ht="23.85" customHeight="1" s="45">
      <c r="A20" s="53" t="n">
        <v>16</v>
      </c>
      <c r="B20" s="54" t="inlineStr">
        <is>
          <t>Информационно-технические (кибер)</t>
        </is>
      </c>
      <c r="C20" s="55" t="inlineStr">
        <is>
          <t>У-ИБ-16</t>
        </is>
      </c>
      <c r="D20" s="54" t="inlineStr">
        <is>
          <t>Компрометация IoT/«умных» устройств</t>
        </is>
      </c>
      <c r="E20" s="54" t="inlineStr">
        <is>
          <t>Использование камер, датчиков, «умных» замков как точки входа в сеть</t>
        </is>
      </c>
      <c r="F20" s="54" t="inlineStr">
        <is>
          <t>БДУ ФСТЭК</t>
        </is>
      </c>
      <c r="G20" s="56" t="inlineStr">
        <is>
          <t>X</t>
        </is>
      </c>
      <c r="H20" s="56" t="inlineStr">
        <is>
          <t>X</t>
        </is>
      </c>
      <c r="I20" s="56" t="inlineStr">
        <is>
          <t>X</t>
        </is>
      </c>
      <c r="J20" s="56" t="inlineStr">
        <is>
          <t>X</t>
        </is>
      </c>
      <c r="K20" s="56" t="inlineStr">
        <is>
          <t>X</t>
        </is>
      </c>
      <c r="L20" s="54" t="inlineStr">
        <is>
          <t>Межсетевой экран / NGFW</t>
        </is>
      </c>
    </row>
    <row r="21" ht="23.85" customHeight="1" s="45">
      <c r="A21" s="53" t="n">
        <v>17</v>
      </c>
      <c r="B21" s="54" t="inlineStr">
        <is>
          <t>Информационно-технические (кибер)</t>
        </is>
      </c>
      <c r="C21" s="55" t="inlineStr">
        <is>
          <t>У-ИБ-17</t>
        </is>
      </c>
      <c r="D21" s="54" t="inlineStr">
        <is>
          <t>Обход DLP через фото экрана или стеганографию</t>
        </is>
      </c>
      <c r="E21" s="54" t="inlineStr">
        <is>
          <t>Вынос конфиденциальных данных в обход контроля каналов передачи</t>
        </is>
      </c>
      <c r="F21" s="54" t="inlineStr">
        <is>
          <t>Отраслевая практика DLP-разработчиков</t>
        </is>
      </c>
      <c r="G21" s="56" t="n"/>
      <c r="H21" s="56" t="inlineStr">
        <is>
          <t>X</t>
        </is>
      </c>
      <c r="I21" s="56" t="inlineStr">
        <is>
          <t>X</t>
        </is>
      </c>
      <c r="J21" s="56" t="n"/>
      <c r="K21" s="56" t="inlineStr">
        <is>
          <t>X</t>
        </is>
      </c>
      <c r="L21" s="54" t="inlineStr">
        <is>
          <t>DLP-система</t>
        </is>
      </c>
    </row>
    <row r="22" ht="23.85" customHeight="1" s="45">
      <c r="A22" s="53" t="n">
        <v>18</v>
      </c>
      <c r="B22" s="54" t="inlineStr">
        <is>
          <t>Информационно-технические (кибер)</t>
        </is>
      </c>
      <c r="C22" s="55" t="inlineStr">
        <is>
          <t>У-ИБ-18</t>
        </is>
      </c>
      <c r="D22" s="54" t="inlineStr">
        <is>
          <t>Утечка через теневые ИТ и BYOD-устройства</t>
        </is>
      </c>
      <c r="E22" s="54" t="inlineStr">
        <is>
          <t>Использование личных устройств и несогласованных сервисов вне периметра контроля</t>
        </is>
      </c>
      <c r="F22" s="54" t="inlineStr">
        <is>
          <t>Отраслевая практика</t>
        </is>
      </c>
      <c r="G22" s="56" t="n"/>
      <c r="H22" s="56" t="inlineStr">
        <is>
          <t>X</t>
        </is>
      </c>
      <c r="I22" s="56" t="inlineStr">
        <is>
          <t>X</t>
        </is>
      </c>
      <c r="J22" s="56" t="inlineStr">
        <is>
          <t>X</t>
        </is>
      </c>
      <c r="K22" s="56" t="inlineStr">
        <is>
          <t>X</t>
        </is>
      </c>
      <c r="L22" s="54" t="inlineStr">
        <is>
          <t>DLP-система</t>
        </is>
      </c>
    </row>
    <row r="23" ht="23.85" customHeight="1" s="45">
      <c r="A23" s="53" t="n">
        <v>19</v>
      </c>
      <c r="B23" s="54" t="inlineStr">
        <is>
          <t>Информационно-технические (кибер)</t>
        </is>
      </c>
      <c r="C23" s="55" t="inlineStr">
        <is>
          <t>У-ИБ-19</t>
        </is>
      </c>
      <c r="D23" s="54" t="inlineStr">
        <is>
          <t>Ошибка конфигурации межсетевого экрана</t>
        </is>
      </c>
      <c r="E23" s="54" t="inlineStr">
        <is>
          <t>Избыточно открытые порты и правила, допускающие несанкционированный трафик</t>
        </is>
      </c>
      <c r="F23" s="54" t="inlineStr">
        <is>
          <t>Отраслевая практика NGFW-интеграторов</t>
        </is>
      </c>
      <c r="G23" s="56" t="n"/>
      <c r="H23" s="56" t="inlineStr">
        <is>
          <t>X</t>
        </is>
      </c>
      <c r="I23" s="56" t="inlineStr">
        <is>
          <t>X</t>
        </is>
      </c>
      <c r="J23" s="56" t="inlineStr">
        <is>
          <t>X</t>
        </is>
      </c>
      <c r="K23" s="56" t="inlineStr">
        <is>
          <t>X</t>
        </is>
      </c>
      <c r="L23" s="54" t="inlineStr">
        <is>
          <t>Межсетевой экран / NGFW</t>
        </is>
      </c>
    </row>
    <row r="24" ht="23.85" customHeight="1" s="45">
      <c r="A24" s="53" t="n">
        <v>20</v>
      </c>
      <c r="B24" s="54" t="inlineStr">
        <is>
          <t>Информационно-технические (кибер)</t>
        </is>
      </c>
      <c r="C24" s="55" t="inlineStr">
        <is>
          <t>У-ИБ-20</t>
        </is>
      </c>
      <c r="D24" s="54" t="inlineStr">
        <is>
          <t>Обход межсетевого экрана через туннелирование</t>
        </is>
      </c>
      <c r="E24" s="54" t="inlineStr">
        <is>
          <t>Сокрытие запрещённого трафика внутри разрешённого протокола</t>
        </is>
      </c>
      <c r="F24" s="54" t="inlineStr">
        <is>
          <t>MITRE ATT&amp;CK (T1572)</t>
        </is>
      </c>
      <c r="G24" s="56" t="n"/>
      <c r="H24" s="56" t="inlineStr">
        <is>
          <t>X</t>
        </is>
      </c>
      <c r="I24" s="56" t="inlineStr">
        <is>
          <t>X</t>
        </is>
      </c>
      <c r="J24" s="56" t="n"/>
      <c r="K24" s="56" t="inlineStr">
        <is>
          <t>X</t>
        </is>
      </c>
      <c r="L24" s="54" t="inlineStr">
        <is>
          <t>Межсетевой экран / NGFW</t>
        </is>
      </c>
    </row>
    <row r="25" ht="23.85" customHeight="1" s="45">
      <c r="A25" s="53" t="n">
        <v>21</v>
      </c>
      <c r="B25" s="54" t="inlineStr">
        <is>
          <t>Информационно-технические (кибер)</t>
        </is>
      </c>
      <c r="C25" s="55" t="inlineStr">
        <is>
          <t>У-ИБ-21</t>
        </is>
      </c>
      <c r="D25" s="54" t="inlineStr">
        <is>
          <t>Компрометация единой точки входа (SSO)</t>
        </is>
      </c>
      <c r="E25" s="54" t="inlineStr">
        <is>
          <t>Единая учётная запись как единая точка отказа для всех связанных систем</t>
        </is>
      </c>
      <c r="F25" s="54" t="inlineStr">
        <is>
          <t>Отраслевая практика IAM</t>
        </is>
      </c>
      <c r="G25" s="56" t="n"/>
      <c r="H25" s="56" t="inlineStr">
        <is>
          <t>X</t>
        </is>
      </c>
      <c r="I25" s="56" t="inlineStr">
        <is>
          <t>X</t>
        </is>
      </c>
      <c r="J25" s="56" t="inlineStr">
        <is>
          <t>X</t>
        </is>
      </c>
      <c r="K25" s="56" t="inlineStr">
        <is>
          <t>X</t>
        </is>
      </c>
      <c r="L25" s="54" t="inlineStr">
        <is>
          <t>IAM / MFA / SSO</t>
        </is>
      </c>
    </row>
    <row r="26" ht="23.85" customHeight="1" s="45">
      <c r="A26" s="53" t="n">
        <v>22</v>
      </c>
      <c r="B26" s="54" t="inlineStr">
        <is>
          <t>Информационно-технические (кибер)</t>
        </is>
      </c>
      <c r="C26" s="55" t="inlineStr">
        <is>
          <t>У-ИБ-22</t>
        </is>
      </c>
      <c r="D26" s="54" t="inlineStr">
        <is>
          <t>Фишинг второго фактора аутентификации</t>
        </is>
      </c>
      <c r="E26" s="54" t="inlineStr">
        <is>
          <t>Перехват одноразового кода (OTP) через поддельную форму ввода</t>
        </is>
      </c>
      <c r="F26" s="54" t="inlineStr">
        <is>
          <t>MITRE ATT&amp;CK (T1621)</t>
        </is>
      </c>
      <c r="G26" s="56" t="n"/>
      <c r="H26" s="56" t="inlineStr">
        <is>
          <t>X</t>
        </is>
      </c>
      <c r="I26" s="56" t="inlineStr">
        <is>
          <t>X</t>
        </is>
      </c>
      <c r="J26" s="56" t="inlineStr">
        <is>
          <t>X</t>
        </is>
      </c>
      <c r="K26" s="56" t="inlineStr">
        <is>
          <t>X</t>
        </is>
      </c>
      <c r="L26" s="54" t="inlineStr">
        <is>
          <t>IAM / MFA / SSO</t>
        </is>
      </c>
    </row>
    <row r="27" ht="23.85" customHeight="1" s="45">
      <c r="A27" s="53" t="n">
        <v>23</v>
      </c>
      <c r="B27" s="54" t="inlineStr">
        <is>
          <t>Информационно-технические (кибер)</t>
        </is>
      </c>
      <c r="C27" s="55" t="inlineStr">
        <is>
          <t>У-ИБ-23</t>
        </is>
      </c>
      <c r="D27" s="54" t="inlineStr">
        <is>
          <t>SIM-swap (замена SIM-карты)</t>
        </is>
      </c>
      <c r="E27" s="54" t="inlineStr">
        <is>
          <t>Перевыпуск SIM-карты жертвы для перехвата кодов подтверждения</t>
        </is>
      </c>
      <c r="F27" s="54" t="inlineStr">
        <is>
          <t>Отраслевая практика операторов связи</t>
        </is>
      </c>
      <c r="G27" s="56" t="inlineStr">
        <is>
          <t>X</t>
        </is>
      </c>
      <c r="H27" s="56" t="inlineStr">
        <is>
          <t>X</t>
        </is>
      </c>
      <c r="I27" s="56" t="n"/>
      <c r="J27" s="56" t="n"/>
      <c r="K27" s="56" t="n"/>
      <c r="L27" s="54" t="inlineStr">
        <is>
          <t>IAM / MFA / SSO</t>
        </is>
      </c>
    </row>
    <row r="28" ht="23.85" customHeight="1" s="45">
      <c r="A28" s="53" t="n">
        <v>24</v>
      </c>
      <c r="B28" s="54" t="inlineStr">
        <is>
          <t>Информационно-технические (кибер)</t>
        </is>
      </c>
      <c r="C28" s="55" t="inlineStr">
        <is>
          <t>У-ИБ-24</t>
        </is>
      </c>
      <c r="D28" s="54" t="inlineStr">
        <is>
          <t>Alert fatigue в SIEM/SOC</t>
        </is>
      </c>
      <c r="E28" s="54" t="inlineStr">
        <is>
          <t>Переизбыток ложных срабатываний, маскирующий реальный инцидент</t>
        </is>
      </c>
      <c r="F28" s="54" t="inlineStr">
        <is>
          <t>Gartner, аналитика SOC 2026</t>
        </is>
      </c>
      <c r="G28" s="56" t="n"/>
      <c r="H28" s="56" t="inlineStr">
        <is>
          <t>X</t>
        </is>
      </c>
      <c r="I28" s="56" t="inlineStr">
        <is>
          <t>X</t>
        </is>
      </c>
      <c r="J28" s="56" t="n"/>
      <c r="K28" s="56" t="inlineStr">
        <is>
          <t>X</t>
        </is>
      </c>
      <c r="L28" s="54" t="inlineStr">
        <is>
          <t>SIEM / SOC-мониторинг</t>
        </is>
      </c>
    </row>
    <row r="29" ht="23.85" customHeight="1" s="45">
      <c r="A29" s="53" t="n">
        <v>25</v>
      </c>
      <c r="B29" s="54" t="inlineStr">
        <is>
          <t>Информационно-технические (кибер)</t>
        </is>
      </c>
      <c r="C29" s="55" t="inlineStr">
        <is>
          <t>У-ИБ-25</t>
        </is>
      </c>
      <c r="D29" s="54" t="inlineStr">
        <is>
          <t>Слепые зоны логирования</t>
        </is>
      </c>
      <c r="E29" s="54" t="inlineStr">
        <is>
          <t>Участки инфраструктуры, не охваченные системой мониторинга событий</t>
        </is>
      </c>
      <c r="F29" s="54" t="inlineStr">
        <is>
          <t>Отраслевая практика SOC</t>
        </is>
      </c>
      <c r="G29" s="56" t="n"/>
      <c r="H29" s="56" t="inlineStr">
        <is>
          <t>X</t>
        </is>
      </c>
      <c r="I29" s="56" t="inlineStr">
        <is>
          <t>X</t>
        </is>
      </c>
      <c r="J29" s="56" t="n"/>
      <c r="K29" s="56" t="inlineStr">
        <is>
          <t>X</t>
        </is>
      </c>
      <c r="L29" s="54" t="inlineStr">
        <is>
          <t>SIEM / SOC-мониторинг</t>
        </is>
      </c>
    </row>
    <row r="30" ht="23.85" customHeight="1" s="45">
      <c r="A30" s="53" t="n">
        <v>26</v>
      </c>
      <c r="B30" s="54" t="inlineStr">
        <is>
          <t>Информационно-технические (кибер)</t>
        </is>
      </c>
      <c r="C30" s="55" t="inlineStr">
        <is>
          <t>У-ИБ-26</t>
        </is>
      </c>
      <c r="D30" s="54" t="inlineStr">
        <is>
          <t>Атака на резервные копии</t>
        </is>
      </c>
      <c r="E30" s="54" t="inlineStr">
        <is>
          <t>Заражение или шифрование архивных копий данных вместе с основной системой</t>
        </is>
      </c>
      <c r="F30" s="54" t="inlineStr">
        <is>
          <t>УЦСБ SOC 2025/2026</t>
        </is>
      </c>
      <c r="G30" s="56" t="n"/>
      <c r="H30" s="56" t="inlineStr">
        <is>
          <t>X</t>
        </is>
      </c>
      <c r="I30" s="56" t="inlineStr">
        <is>
          <t>X</t>
        </is>
      </c>
      <c r="J30" s="56" t="inlineStr">
        <is>
          <t>X</t>
        </is>
      </c>
      <c r="K30" s="56" t="inlineStr">
        <is>
          <t>X</t>
        </is>
      </c>
      <c r="L30" s="54" t="inlineStr">
        <is>
          <t>Резервное копирование и восстановление (Backup/DR)</t>
        </is>
      </c>
    </row>
    <row r="31" ht="23.85" customHeight="1" s="45">
      <c r="A31" s="53" t="n">
        <v>27</v>
      </c>
      <c r="B31" s="54" t="inlineStr">
        <is>
          <t>Информационно-технические (кибер)</t>
        </is>
      </c>
      <c r="C31" s="55" t="inlineStr">
        <is>
          <t>У-ИБ-27</t>
        </is>
      </c>
      <c r="D31" s="54" t="inlineStr">
        <is>
          <t>Неработоспособность резервной копии при восстановлении</t>
        </is>
      </c>
      <c r="E31" s="54" t="inlineStr">
        <is>
          <t>Отсутствие проверки целостности и восстанавливаемости бэкапа до инцидента</t>
        </is>
      </c>
      <c r="F31" s="54" t="inlineStr">
        <is>
          <t>Отраслевая практика</t>
        </is>
      </c>
      <c r="G31" s="56" t="inlineStr">
        <is>
          <t>X</t>
        </is>
      </c>
      <c r="H31" s="56" t="inlineStr">
        <is>
          <t>X</t>
        </is>
      </c>
      <c r="I31" s="56" t="inlineStr">
        <is>
          <t>X</t>
        </is>
      </c>
      <c r="J31" s="56" t="inlineStr">
        <is>
          <t>X</t>
        </is>
      </c>
      <c r="K31" s="56" t="inlineStr">
        <is>
          <t>X</t>
        </is>
      </c>
      <c r="L31" s="54" t="inlineStr">
        <is>
          <t>Резервное копирование и восстановление (Backup/DR)</t>
        </is>
      </c>
    </row>
    <row r="32" ht="23.85" customHeight="1" s="45">
      <c r="A32" s="53" t="n">
        <v>28</v>
      </c>
      <c r="B32" s="54" t="inlineStr">
        <is>
          <t>Информационно-технические (кибер)</t>
        </is>
      </c>
      <c r="C32" s="55" t="inlineStr">
        <is>
          <t>У-ИБ-28</t>
        </is>
      </c>
      <c r="D32" s="54" t="inlineStr">
        <is>
          <t>Компрометация или утрата ключей шифрования</t>
        </is>
      </c>
      <c r="E32" s="54" t="inlineStr">
        <is>
          <t>Потеря контроля над криптографическим ключом, обесценивающая защиту данных</t>
        </is>
      </c>
      <c r="F32" s="54" t="inlineStr">
        <is>
          <t>ГОСТ Р ИСО/МЭК 15408-1-2012 (общая модель угроз)</t>
        </is>
      </c>
      <c r="G32" s="56" t="n"/>
      <c r="H32" s="56" t="inlineStr">
        <is>
          <t>X</t>
        </is>
      </c>
      <c r="I32" s="56" t="inlineStr">
        <is>
          <t>X</t>
        </is>
      </c>
      <c r="J32" s="56" t="n"/>
      <c r="K32" s="56" t="inlineStr">
        <is>
          <t>X</t>
        </is>
      </c>
      <c r="L32" s="54" t="inlineStr">
        <is>
          <t>Криптографическая защита каналов и данных (СКЗИ)</t>
        </is>
      </c>
    </row>
    <row r="33" ht="35.05" customHeight="1" s="45">
      <c r="A33" s="53" t="n">
        <v>29</v>
      </c>
      <c r="B33" s="54" t="inlineStr">
        <is>
          <t>Информационно-технические (кибер)</t>
        </is>
      </c>
      <c r="C33" s="55" t="inlineStr">
        <is>
          <t>У-ИБ-29</t>
        </is>
      </c>
      <c r="D33" s="54" t="inlineStr">
        <is>
          <t>Использование устаревших криптоалгоритмов</t>
        </is>
      </c>
      <c r="E33" s="54" t="inlineStr">
        <is>
          <t>Применение схем, не отвечающих текущим требованиям стойкости</t>
        </is>
      </c>
      <c r="F33" s="54" t="inlineStr">
        <is>
          <t>NIST IR 8547 (график вывода RSA-2048/ECDSA из обращения)</t>
        </is>
      </c>
      <c r="G33" s="56" t="n"/>
      <c r="H33" s="56" t="inlineStr">
        <is>
          <t>X</t>
        </is>
      </c>
      <c r="I33" s="56" t="inlineStr">
        <is>
          <t>X</t>
        </is>
      </c>
      <c r="J33" s="56" t="n"/>
      <c r="K33" s="56" t="inlineStr">
        <is>
          <t>X</t>
        </is>
      </c>
      <c r="L33" s="54" t="inlineStr">
        <is>
          <t>Криптографическая защита каналов и данных (СКЗИ)</t>
        </is>
      </c>
    </row>
    <row r="34" ht="35.05" customHeight="1" s="45">
      <c r="A34" s="53" t="n">
        <v>30</v>
      </c>
      <c r="B34" s="54" t="inlineStr">
        <is>
          <t>Информационно-технические (кибер)</t>
        </is>
      </c>
      <c r="C34" s="55" t="inlineStr">
        <is>
          <t>У-ИБ-30</t>
        </is>
      </c>
      <c r="D34" s="54" t="inlineStr">
        <is>
          <t>«Harvest now, decrypt later»</t>
        </is>
      </c>
      <c r="E34" s="54" t="inlineStr">
        <is>
          <t>Перехват и накопление зашифрованных данных сегодня для расшифровки будущим квантовым компьютером</t>
        </is>
      </c>
      <c r="F34" s="54" t="inlineStr">
        <is>
          <t>Zscaler, QRAMM — прогноз Q-day 2030-2035</t>
        </is>
      </c>
      <c r="G34" s="56" t="n"/>
      <c r="H34" s="56" t="inlineStr">
        <is>
          <t>X</t>
        </is>
      </c>
      <c r="I34" s="56" t="inlineStr">
        <is>
          <t>X</t>
        </is>
      </c>
      <c r="J34" s="56" t="n"/>
      <c r="K34" s="56" t="inlineStr">
        <is>
          <t>X</t>
        </is>
      </c>
      <c r="L34" s="54" t="inlineStr">
        <is>
          <t>Криптографическая защита каналов и данных (СКЗИ)</t>
        </is>
      </c>
    </row>
    <row r="35" ht="35.05" customHeight="1" s="45">
      <c r="A35" s="53" t="n">
        <v>31</v>
      </c>
      <c r="B35" s="54" t="inlineStr">
        <is>
          <t>Цепочка поставок</t>
        </is>
      </c>
      <c r="C35" s="55" t="inlineStr">
        <is>
          <t>У-ЦП-01</t>
        </is>
      </c>
      <c r="D35" s="54" t="inlineStr">
        <is>
          <t>Компрометация подрядчика/поставщика услуг</t>
        </is>
      </c>
      <c r="E35" s="54" t="inlineStr">
        <is>
          <t>Получение доступа к сети заказчика через взломанного контрагента</t>
        </is>
      </c>
      <c r="F35" s="54" t="inlineStr">
        <is>
          <t>УЦСБ SOC 2025/2026 (30% атак 2025 г. через подрядчиков)</t>
        </is>
      </c>
      <c r="G35" s="56" t="inlineStr">
        <is>
          <t>X</t>
        </is>
      </c>
      <c r="H35" s="56" t="inlineStr">
        <is>
          <t>X</t>
        </is>
      </c>
      <c r="I35" s="56" t="inlineStr">
        <is>
          <t>X</t>
        </is>
      </c>
      <c r="J35" s="56" t="inlineStr">
        <is>
          <t>X</t>
        </is>
      </c>
      <c r="K35" s="56" t="inlineStr">
        <is>
          <t>X</t>
        </is>
      </c>
      <c r="L35" s="54" t="inlineStr">
        <is>
          <t>Аудит / пентест информационной безопасности</t>
        </is>
      </c>
    </row>
    <row r="36" ht="23.85" customHeight="1" s="45">
      <c r="A36" s="53" t="n">
        <v>32</v>
      </c>
      <c r="B36" s="54" t="inlineStr">
        <is>
          <t>Цепочка поставок</t>
        </is>
      </c>
      <c r="C36" s="55" t="inlineStr">
        <is>
          <t>У-ЦП-02</t>
        </is>
      </c>
      <c r="D36" s="54" t="inlineStr">
        <is>
          <t>Внедрение вредоносного кода через обновление ПО вендора</t>
        </is>
      </c>
      <c r="E36" s="54" t="inlineStr">
        <is>
          <t>Компрометация цепочки поставок программного обеспечения</t>
        </is>
      </c>
      <c r="F36" s="54" t="inlineStr">
        <is>
          <t>MITRE ATT&amp;CK (T1195); PT Security CODE RED 2026</t>
        </is>
      </c>
      <c r="G36" s="56" t="n"/>
      <c r="H36" s="56" t="inlineStr">
        <is>
          <t>X</t>
        </is>
      </c>
      <c r="I36" s="56" t="inlineStr">
        <is>
          <t>X</t>
        </is>
      </c>
      <c r="J36" s="56" t="inlineStr">
        <is>
          <t>X</t>
        </is>
      </c>
      <c r="K36" s="56" t="inlineStr">
        <is>
          <t>X</t>
        </is>
      </c>
      <c r="L36" s="54" t="inlineStr">
        <is>
          <t>Антивирус корпоративного класса / EDR</t>
        </is>
      </c>
    </row>
    <row r="37" ht="35.05" customHeight="1" s="45">
      <c r="A37" s="53" t="n">
        <v>33</v>
      </c>
      <c r="B37" s="54" t="inlineStr">
        <is>
          <t>Цепочка поставок</t>
        </is>
      </c>
      <c r="C37" s="55" t="inlineStr">
        <is>
          <t>У-ЦП-03</t>
        </is>
      </c>
      <c r="D37" s="54" t="inlineStr">
        <is>
          <t>Компрометация учётных записей сервисных инженеров/интеграторов</t>
        </is>
      </c>
      <c r="E37" s="54" t="inlineStr">
        <is>
          <t>Использование доступа монтажной/обслуживающей организации во вред заказчику</t>
        </is>
      </c>
      <c r="F37" s="54" t="inlineStr">
        <is>
          <t>Отраслевая практика</t>
        </is>
      </c>
      <c r="G37" s="56" t="inlineStr">
        <is>
          <t>X</t>
        </is>
      </c>
      <c r="H37" s="56" t="inlineStr">
        <is>
          <t>X</t>
        </is>
      </c>
      <c r="I37" s="56" t="inlineStr">
        <is>
          <t>X</t>
        </is>
      </c>
      <c r="J37" s="56" t="inlineStr">
        <is>
          <t>X</t>
        </is>
      </c>
      <c r="K37" s="56" t="inlineStr">
        <is>
          <t>X</t>
        </is>
      </c>
      <c r="L37" s="54" t="inlineStr">
        <is>
          <t>IAM / MFA / SSO</t>
        </is>
      </c>
    </row>
    <row r="38" ht="23.85" customHeight="1" s="45">
      <c r="A38" s="53" t="n">
        <v>34</v>
      </c>
      <c r="B38" s="54" t="inlineStr">
        <is>
          <t>Персонал (инсайдер, человеческий фактор)</t>
        </is>
      </c>
      <c r="C38" s="55" t="inlineStr">
        <is>
          <t>У-ПЕРС-01</t>
        </is>
      </c>
      <c r="D38" s="54" t="inlineStr">
        <is>
          <t>Умышленные действия действующего сотрудника</t>
        </is>
      </c>
      <c r="E38" s="54" t="inlineStr">
        <is>
          <t>Хищение, порча или передача конкурентам служебной информации</t>
        </is>
      </c>
      <c r="F38" s="54" t="inlineStr">
        <is>
          <t>Kaspersky, аналитика инсайдерских угроз</t>
        </is>
      </c>
      <c r="G38" s="56" t="n"/>
      <c r="H38" s="56" t="inlineStr">
        <is>
          <t>X</t>
        </is>
      </c>
      <c r="I38" s="56" t="inlineStr">
        <is>
          <t>X</t>
        </is>
      </c>
      <c r="J38" s="56" t="inlineStr">
        <is>
          <t>X</t>
        </is>
      </c>
      <c r="K38" s="56" t="inlineStr">
        <is>
          <t>X</t>
        </is>
      </c>
      <c r="L38" s="54" t="inlineStr">
        <is>
          <t>DLP-система</t>
        </is>
      </c>
    </row>
    <row r="39" ht="23.85" customHeight="1" s="45">
      <c r="A39" s="53" t="n">
        <v>35</v>
      </c>
      <c r="B39" s="54" t="inlineStr">
        <is>
          <t>Персонал (инсайдер, человеческий фактор)</t>
        </is>
      </c>
      <c r="C39" s="55" t="inlineStr">
        <is>
          <t>У-ПЕРС-02</t>
        </is>
      </c>
      <c r="D39" s="54" t="inlineStr">
        <is>
          <t>Действия бывшего (уволенного) работника</t>
        </is>
      </c>
      <c r="E39" s="54" t="inlineStr">
        <is>
          <t>Использование сохранившегося доступа после увольнения</t>
        </is>
      </c>
      <c r="F39" s="54" t="inlineStr">
        <is>
          <t>БДУ ФСТЭК; учебник УПЗИ (типология нарушителей)</t>
        </is>
      </c>
      <c r="G39" s="56" t="n"/>
      <c r="H39" s="56" t="inlineStr">
        <is>
          <t>X</t>
        </is>
      </c>
      <c r="I39" s="56" t="inlineStr">
        <is>
          <t>X</t>
        </is>
      </c>
      <c r="J39" s="56" t="inlineStr">
        <is>
          <t>X</t>
        </is>
      </c>
      <c r="K39" s="56" t="inlineStr">
        <is>
          <t>X</t>
        </is>
      </c>
      <c r="L39" s="54" t="inlineStr">
        <is>
          <t>IAM / MFA / SSO</t>
        </is>
      </c>
    </row>
    <row r="40" ht="23.85" customHeight="1" s="45">
      <c r="A40" s="53" t="n">
        <v>36</v>
      </c>
      <c r="B40" s="54" t="inlineStr">
        <is>
          <t>Персонал (инсайдер, человеческий фактор)</t>
        </is>
      </c>
      <c r="C40" s="55" t="inlineStr">
        <is>
          <t>У-ПЕРС-03</t>
        </is>
      </c>
      <c r="D40" s="54" t="inlineStr">
        <is>
          <t>Социальная инженерия</t>
        </is>
      </c>
      <c r="E40" s="54" t="inlineStr">
        <is>
          <t>Психологическое манипулирование персоналом для получения доступа или данных</t>
        </is>
      </c>
      <c r="F40" s="54" t="inlineStr">
        <is>
          <t>УЦСБ SOC 2025/2026 (60% атак)</t>
        </is>
      </c>
      <c r="G40" s="56" t="inlineStr">
        <is>
          <t>X</t>
        </is>
      </c>
      <c r="H40" s="56" t="inlineStr">
        <is>
          <t>X</t>
        </is>
      </c>
      <c r="I40" s="56" t="inlineStr">
        <is>
          <t>X</t>
        </is>
      </c>
      <c r="J40" s="56" t="inlineStr">
        <is>
          <t>X</t>
        </is>
      </c>
      <c r="K40" s="56" t="inlineStr">
        <is>
          <t>X</t>
        </is>
      </c>
      <c r="L40" s="54" t="inlineStr">
        <is>
          <t>Программа обучения персонала (security awareness)</t>
        </is>
      </c>
    </row>
    <row r="41" ht="23.85" customHeight="1" s="45">
      <c r="A41" s="53" t="n">
        <v>37</v>
      </c>
      <c r="B41" s="54" t="inlineStr">
        <is>
          <t>Персонал (инсайдер, человеческий фактор)</t>
        </is>
      </c>
      <c r="C41" s="55" t="inlineStr">
        <is>
          <t>У-ПЕРС-04</t>
        </is>
      </c>
      <c r="D41" s="54" t="inlineStr">
        <is>
          <t>Ошибка персонала (человеческий фактор)</t>
        </is>
      </c>
      <c r="E41" s="54" t="inlineStr">
        <is>
          <t>Непреднамеренное нарушение регламента, забытая постановка на охрану, неверная настройка</t>
        </is>
      </c>
      <c r="F41" s="54" t="inlineStr">
        <is>
          <t>Общая практика ИБ</t>
        </is>
      </c>
      <c r="G41" s="56" t="inlineStr">
        <is>
          <t>X</t>
        </is>
      </c>
      <c r="H41" s="56" t="inlineStr">
        <is>
          <t>X</t>
        </is>
      </c>
      <c r="I41" s="56" t="inlineStr">
        <is>
          <t>X</t>
        </is>
      </c>
      <c r="J41" s="56" t="inlineStr">
        <is>
          <t>X</t>
        </is>
      </c>
      <c r="K41" s="56" t="inlineStr">
        <is>
          <t>X</t>
        </is>
      </c>
      <c r="L41" s="54" t="inlineStr">
        <is>
          <t>Программа обучения персонала (security awareness)</t>
        </is>
      </c>
    </row>
    <row r="42" ht="23.85" customHeight="1" s="45">
      <c r="A42" s="53" t="n">
        <v>38</v>
      </c>
      <c r="B42" s="54" t="inlineStr">
        <is>
          <t>Персонал (инсайдер, человеческий фактор)</t>
        </is>
      </c>
      <c r="C42" s="55" t="inlineStr">
        <is>
          <t>У-ПЕРС-05</t>
        </is>
      </c>
      <c r="D42" s="54" t="inlineStr">
        <is>
          <t>Несоблюдение пропускного и внутриобъектового режима</t>
        </is>
      </c>
      <c r="E42" s="54" t="inlineStr">
        <is>
          <t>Проход посторонних лиц вследствие нарушения установленных процедур</t>
        </is>
      </c>
      <c r="F42" s="54" t="inlineStr">
        <is>
          <t>Постановление Правительства РФ №1006 от 02.08.2019</t>
        </is>
      </c>
      <c r="G42" s="56" t="n"/>
      <c r="H42" s="56" t="inlineStr">
        <is>
          <t>X</t>
        </is>
      </c>
      <c r="I42" s="56" t="inlineStr">
        <is>
          <t>X</t>
        </is>
      </c>
      <c r="J42" s="56" t="inlineStr">
        <is>
          <t>X</t>
        </is>
      </c>
      <c r="K42" s="56" t="inlineStr">
        <is>
          <t>X</t>
        </is>
      </c>
      <c r="L42" s="54" t="inlineStr">
        <is>
          <t>СКУД (система контроля и управления доступом)</t>
        </is>
      </c>
    </row>
    <row r="43" ht="23.85" customHeight="1" s="45">
      <c r="A43" s="53" t="n">
        <v>39</v>
      </c>
      <c r="B43" s="54" t="inlineStr">
        <is>
          <t>Персонал (инсайдер, человеческий фактор)</t>
        </is>
      </c>
      <c r="C43" s="55" t="inlineStr">
        <is>
          <t>У-ПЕРС-06</t>
        </is>
      </c>
      <c r="D43" s="54" t="inlineStr">
        <is>
          <t>Сговор персонала с внешним нарушителем</t>
        </is>
      </c>
      <c r="E43" s="54" t="inlineStr">
        <is>
          <t>Содействие постороннему лицу в получении доступа к активам/помещениям</t>
        </is>
      </c>
      <c r="F43" s="54" t="inlineStr">
        <is>
          <t>Учебник УПЗИ (модель нарушителя)</t>
        </is>
      </c>
      <c r="G43" s="56" t="n"/>
      <c r="H43" s="56" t="inlineStr">
        <is>
          <t>X</t>
        </is>
      </c>
      <c r="I43" s="56" t="inlineStr">
        <is>
          <t>X</t>
        </is>
      </c>
      <c r="J43" s="56" t="inlineStr">
        <is>
          <t>X</t>
        </is>
      </c>
      <c r="K43" s="56" t="inlineStr">
        <is>
          <t>X</t>
        </is>
      </c>
      <c r="L43" s="54" t="inlineStr">
        <is>
          <t>Аудит / пентест информационной безопасности</t>
        </is>
      </c>
    </row>
    <row r="44" ht="23.85" customHeight="1" s="45">
      <c r="A44" s="53" t="n">
        <v>40</v>
      </c>
      <c r="B44" s="54" t="inlineStr">
        <is>
          <t>Физические угрозы имуществу</t>
        </is>
      </c>
      <c r="C44" s="55" t="inlineStr">
        <is>
          <t>У-ФИЗ-01</t>
        </is>
      </c>
      <c r="D44" s="54" t="inlineStr">
        <is>
          <t>Кража (хищение) имущества, оборудования, носителей</t>
        </is>
      </c>
      <c r="E44" s="54" t="inlineStr">
        <is>
          <t>Хищение материальных ценностей или носителей информации с объекта</t>
        </is>
      </c>
      <c r="F44" s="54" t="inlineStr">
        <is>
          <t>Отраслевая практика охранных систем</t>
        </is>
      </c>
      <c r="G44" s="56" t="inlineStr">
        <is>
          <t>X</t>
        </is>
      </c>
      <c r="H44" s="56" t="inlineStr">
        <is>
          <t>X</t>
        </is>
      </c>
      <c r="I44" s="56" t="inlineStr">
        <is>
          <t>X</t>
        </is>
      </c>
      <c r="J44" s="56" t="inlineStr">
        <is>
          <t>X</t>
        </is>
      </c>
      <c r="K44" s="56" t="inlineStr">
        <is>
          <t>X</t>
        </is>
      </c>
      <c r="L44" s="54" t="inlineStr">
        <is>
          <t>СКУД (система контроля и управления доступом)</t>
        </is>
      </c>
    </row>
    <row r="45" ht="35.05" customHeight="1" s="45">
      <c r="A45" s="53" t="n">
        <v>41</v>
      </c>
      <c r="B45" s="54" t="inlineStr">
        <is>
          <t>Физические угрозы имуществу</t>
        </is>
      </c>
      <c r="C45" s="55" t="inlineStr">
        <is>
          <t>У-ФИЗ-02</t>
        </is>
      </c>
      <c r="D45" s="54" t="inlineStr">
        <is>
          <t>Взлом дверей, окон, ограждения периметра</t>
        </is>
      </c>
      <c r="E45" s="54" t="inlineStr">
        <is>
          <t>Силовое проникновение через слабо защищённые точки доступа</t>
        </is>
      </c>
      <c r="F45" s="54" t="inlineStr">
        <is>
          <t>CPTED-практика (естественный контроль доступа)</t>
        </is>
      </c>
      <c r="G45" s="56" t="inlineStr">
        <is>
          <t>X</t>
        </is>
      </c>
      <c r="H45" s="56" t="inlineStr">
        <is>
          <t>X</t>
        </is>
      </c>
      <c r="I45" s="56" t="inlineStr">
        <is>
          <t>X</t>
        </is>
      </c>
      <c r="J45" s="56" t="inlineStr">
        <is>
          <t>X</t>
        </is>
      </c>
      <c r="K45" s="56" t="inlineStr">
        <is>
          <t>X</t>
        </is>
      </c>
      <c r="L45" s="54" t="inlineStr">
        <is>
          <t>Охранная сигнализация</t>
        </is>
      </c>
    </row>
    <row r="46" ht="35.05" customHeight="1" s="45">
      <c r="A46" s="53" t="n">
        <v>42</v>
      </c>
      <c r="B46" s="54" t="inlineStr">
        <is>
          <t>Физические угрозы имуществу</t>
        </is>
      </c>
      <c r="C46" s="55" t="inlineStr">
        <is>
          <t>У-ФИЗ-03</t>
        </is>
      </c>
      <c r="D46" s="54" t="inlineStr">
        <is>
          <t>Проникновение через технологические/слабозащищённые проёмы</t>
        </is>
      </c>
      <c r="E46" s="54" t="inlineStr">
        <is>
          <t>Проход через подвал, вентиляцию, незащищённые технические отверстия</t>
        </is>
      </c>
      <c r="F46" s="54" t="inlineStr">
        <is>
          <t>CPTED-практика</t>
        </is>
      </c>
      <c r="G46" s="56" t="inlineStr">
        <is>
          <t>X</t>
        </is>
      </c>
      <c r="H46" s="56" t="inlineStr">
        <is>
          <t>X</t>
        </is>
      </c>
      <c r="I46" s="56" t="inlineStr">
        <is>
          <t>X</t>
        </is>
      </c>
      <c r="J46" s="56" t="inlineStr">
        <is>
          <t>X</t>
        </is>
      </c>
      <c r="K46" s="56" t="inlineStr">
        <is>
          <t>X</t>
        </is>
      </c>
      <c r="L46" s="54" t="inlineStr">
        <is>
          <t>Охранная сигнализация</t>
        </is>
      </c>
    </row>
    <row r="47" ht="23.85" customHeight="1" s="45">
      <c r="A47" s="53" t="n">
        <v>43</v>
      </c>
      <c r="B47" s="54" t="inlineStr">
        <is>
          <t>Физические угрозы имуществу</t>
        </is>
      </c>
      <c r="C47" s="55" t="inlineStr">
        <is>
          <t>У-ФИЗ-04</t>
        </is>
      </c>
      <c r="D47" s="54" t="inlineStr">
        <is>
          <t>Вандализм, умышленная порча имущества</t>
        </is>
      </c>
      <c r="E47" s="54" t="inlineStr">
        <is>
          <t>Разрушение или порча оборудования, фасада, ограждения</t>
        </is>
      </c>
      <c r="F47" s="54" t="inlineStr">
        <is>
          <t>CPTED-практика</t>
        </is>
      </c>
      <c r="G47" s="56" t="inlineStr">
        <is>
          <t>X</t>
        </is>
      </c>
      <c r="H47" s="56" t="inlineStr">
        <is>
          <t>X</t>
        </is>
      </c>
      <c r="I47" s="56" t="inlineStr">
        <is>
          <t>X</t>
        </is>
      </c>
      <c r="J47" s="56" t="inlineStr">
        <is>
          <t>X</t>
        </is>
      </c>
      <c r="K47" s="56" t="inlineStr">
        <is>
          <t>X</t>
        </is>
      </c>
      <c r="L47" s="54" t="inlineStr">
        <is>
          <t>СОТ (система видеонаблюдения)</t>
        </is>
      </c>
    </row>
    <row r="48" ht="23.85" customHeight="1" s="45">
      <c r="A48" s="53" t="n">
        <v>44</v>
      </c>
      <c r="B48" s="54" t="inlineStr">
        <is>
          <t>Физические угрозы имуществу</t>
        </is>
      </c>
      <c r="C48" s="55" t="inlineStr">
        <is>
          <t>У-ФИЗ-05</t>
        </is>
      </c>
      <c r="D48" s="54" t="inlineStr">
        <is>
          <t>Умышленный поджог</t>
        </is>
      </c>
      <c r="E48" s="54" t="inlineStr">
        <is>
          <t>Целенаправленное возгорание с целью причинения ущерба</t>
        </is>
      </c>
      <c r="F48" s="54" t="inlineStr">
        <is>
          <t>Общая практика пожарной безопасности</t>
        </is>
      </c>
      <c r="G48" s="56" t="inlineStr">
        <is>
          <t>X</t>
        </is>
      </c>
      <c r="H48" s="56" t="inlineStr">
        <is>
          <t>X</t>
        </is>
      </c>
      <c r="I48" s="56" t="inlineStr">
        <is>
          <t>X</t>
        </is>
      </c>
      <c r="J48" s="56" t="inlineStr">
        <is>
          <t>X</t>
        </is>
      </c>
      <c r="K48" s="56" t="inlineStr">
        <is>
          <t>X</t>
        </is>
      </c>
      <c r="L48" s="54" t="inlineStr">
        <is>
          <t>Пожарная сигнализация</t>
        </is>
      </c>
    </row>
    <row r="49" ht="23.85" customHeight="1" s="45">
      <c r="A49" s="53" t="n">
        <v>45</v>
      </c>
      <c r="B49" s="54" t="inlineStr">
        <is>
          <t>Физические угрозы имуществу</t>
        </is>
      </c>
      <c r="C49" s="55" t="inlineStr">
        <is>
          <t>У-ФИЗ-06</t>
        </is>
      </c>
      <c r="D49" s="54" t="inlineStr">
        <is>
          <t>Повреждение или хищение кабельных линий связи/электропитания</t>
        </is>
      </c>
      <c r="E49" s="54" t="inlineStr">
        <is>
          <t>Обрыв, обрезание кабеля сигнализации, связи, электропитания</t>
        </is>
      </c>
      <c r="F49" s="54" t="inlineStr">
        <is>
          <t>Отраслевая практика охранных систем</t>
        </is>
      </c>
      <c r="G49" s="56" t="inlineStr">
        <is>
          <t>X</t>
        </is>
      </c>
      <c r="H49" s="56" t="inlineStr">
        <is>
          <t>X</t>
        </is>
      </c>
      <c r="I49" s="56" t="inlineStr">
        <is>
          <t>X</t>
        </is>
      </c>
      <c r="J49" s="56" t="inlineStr">
        <is>
          <t>X</t>
        </is>
      </c>
      <c r="K49" s="56" t="inlineStr">
        <is>
          <t>X</t>
        </is>
      </c>
      <c r="L49" s="54" t="inlineStr">
        <is>
          <t>Комплексный проект ИТСО «под ключ»</t>
        </is>
      </c>
    </row>
    <row r="50" ht="46.25" customHeight="1" s="45">
      <c r="A50" s="53" t="n">
        <v>46</v>
      </c>
      <c r="B50" s="54" t="inlineStr">
        <is>
          <t>Угрозы жизни, здоровью, террористические</t>
        </is>
      </c>
      <c r="C50" s="55" t="inlineStr">
        <is>
          <t>У-ТЕР-01</t>
        </is>
      </c>
      <c r="D50" s="54" t="inlineStr">
        <is>
          <t>Вооружённое нападение на объект</t>
        </is>
      </c>
      <c r="E50" s="54" t="inlineStr">
        <is>
          <t>Проникновение вооружённого лица с целью причинения вреда</t>
        </is>
      </c>
      <c r="F50" s="54" t="inlineStr">
        <is>
          <t>ФЗ №35-ФЗ «О противодействии терроризму»; Постановление №1006</t>
        </is>
      </c>
      <c r="G50" s="56" t="inlineStr">
        <is>
          <t>X</t>
        </is>
      </c>
      <c r="H50" s="56" t="inlineStr">
        <is>
          <t>X</t>
        </is>
      </c>
      <c r="I50" s="56" t="inlineStr">
        <is>
          <t>X</t>
        </is>
      </c>
      <c r="J50" s="56" t="inlineStr">
        <is>
          <t>X</t>
        </is>
      </c>
      <c r="K50" s="56" t="inlineStr">
        <is>
          <t>X</t>
        </is>
      </c>
      <c r="L50" s="54" t="inlineStr">
        <is>
          <t>Паспорт безопасности / антитеррористическая защищённость (ПП РФ № 1006)</t>
        </is>
      </c>
    </row>
    <row r="51" ht="35.05" customHeight="1" s="45">
      <c r="A51" s="53" t="n">
        <v>47</v>
      </c>
      <c r="B51" s="54" t="inlineStr">
        <is>
          <t>Угрозы жизни, здоровью, террористические</t>
        </is>
      </c>
      <c r="C51" s="55" t="inlineStr">
        <is>
          <t>У-ТЕР-02</t>
        </is>
      </c>
      <c r="D51" s="54" t="inlineStr">
        <is>
          <t>Угроза размещения взрывного устройства</t>
        </is>
      </c>
      <c r="E51" s="54" t="inlineStr">
        <is>
          <t>Закладка или сообщение о закладке взрывного устройства</t>
        </is>
      </c>
      <c r="F51" s="54" t="inlineStr">
        <is>
          <t>Постановление Правительства РФ №1006 от 02.08.2019</t>
        </is>
      </c>
      <c r="G51" s="56" t="n"/>
      <c r="H51" s="56" t="inlineStr">
        <is>
          <t>X</t>
        </is>
      </c>
      <c r="I51" s="56" t="inlineStr">
        <is>
          <t>X</t>
        </is>
      </c>
      <c r="J51" s="56" t="inlineStr">
        <is>
          <t>X</t>
        </is>
      </c>
      <c r="K51" s="56" t="inlineStr">
        <is>
          <t>X</t>
        </is>
      </c>
      <c r="L51" s="54" t="inlineStr">
        <is>
          <t>Паспорт безопасности / антитеррористическая защищённость (ПП РФ № 1006)</t>
        </is>
      </c>
    </row>
    <row r="52" ht="35.05" customHeight="1" s="45">
      <c r="A52" s="53" t="n">
        <v>48</v>
      </c>
      <c r="B52" s="54" t="inlineStr">
        <is>
          <t>Угрозы жизни, здоровью, террористические</t>
        </is>
      </c>
      <c r="C52" s="55" t="inlineStr">
        <is>
          <t>У-ТЕР-03</t>
        </is>
      </c>
      <c r="D52" s="54" t="inlineStr">
        <is>
          <t>Захват заложников</t>
        </is>
      </c>
      <c r="E52" s="54" t="inlineStr">
        <is>
          <t>Насильственное удержание людей на объекте</t>
        </is>
      </c>
      <c r="F52" s="54" t="inlineStr">
        <is>
          <t>Постановление Правительства РФ №1006 от 02.08.2019</t>
        </is>
      </c>
      <c r="G52" s="56" t="n"/>
      <c r="H52" s="56" t="inlineStr">
        <is>
          <t>X</t>
        </is>
      </c>
      <c r="I52" s="56" t="inlineStr">
        <is>
          <t>X</t>
        </is>
      </c>
      <c r="J52" s="56" t="inlineStr">
        <is>
          <t>X</t>
        </is>
      </c>
      <c r="K52" s="56" t="inlineStr">
        <is>
          <t>X</t>
        </is>
      </c>
      <c r="L52" s="54" t="inlineStr">
        <is>
          <t>Паспорт безопасности / антитеррористическая защищённость (ПП РФ № 1006)</t>
        </is>
      </c>
    </row>
    <row r="53" ht="35.05" customHeight="1" s="45">
      <c r="A53" s="53" t="n">
        <v>49</v>
      </c>
      <c r="B53" s="54" t="inlineStr">
        <is>
          <t>Угрозы жизни, здоровью, террористические</t>
        </is>
      </c>
      <c r="C53" s="55" t="inlineStr">
        <is>
          <t>У-ТЕР-04</t>
        </is>
      </c>
      <c r="D53" s="54" t="inlineStr">
        <is>
          <t>Пронос токсичных, отравляющих, биологических агентов</t>
        </is>
      </c>
      <c r="E53" s="54" t="inlineStr">
        <is>
          <t>Занос опасных веществ на территорию объекта</t>
        </is>
      </c>
      <c r="F53" s="54" t="inlineStr">
        <is>
          <t>Постановление Правительства РФ №1006 от 02.08.2019</t>
        </is>
      </c>
      <c r="G53" s="56" t="n"/>
      <c r="H53" s="56" t="n"/>
      <c r="I53" s="56" t="inlineStr">
        <is>
          <t>X</t>
        </is>
      </c>
      <c r="J53" s="56" t="inlineStr">
        <is>
          <t>X</t>
        </is>
      </c>
      <c r="K53" s="56" t="inlineStr">
        <is>
          <t>X</t>
        </is>
      </c>
      <c r="L53" s="54" t="inlineStr">
        <is>
          <t>Паспорт безопасности / антитеррористическая защищённость (ПП РФ № 1006)</t>
        </is>
      </c>
    </row>
    <row r="54" ht="35.05" customHeight="1" s="45">
      <c r="A54" s="53" t="n">
        <v>50</v>
      </c>
      <c r="B54" s="54" t="inlineStr">
        <is>
          <t>Угрозы жизни, здоровью, террористические</t>
        </is>
      </c>
      <c r="C54" s="55" t="inlineStr">
        <is>
          <t>У-ТЕР-05</t>
        </is>
      </c>
      <c r="D54" s="54" t="inlineStr">
        <is>
          <t>Массовые беспорядки на прилегающей территории</t>
        </is>
      </c>
      <c r="E54" s="54" t="inlineStr">
        <is>
          <t>Стихийное скопление людей, создающее угрозу безопасности объекта</t>
        </is>
      </c>
      <c r="F54" s="54" t="inlineStr">
        <is>
          <t>ФЗ №35-ФЗ «О противодействии терроризму»</t>
        </is>
      </c>
      <c r="G54" s="56" t="n"/>
      <c r="H54" s="56" t="inlineStr">
        <is>
          <t>X</t>
        </is>
      </c>
      <c r="I54" s="56" t="inlineStr">
        <is>
          <t>X</t>
        </is>
      </c>
      <c r="J54" s="56" t="inlineStr">
        <is>
          <t>X</t>
        </is>
      </c>
      <c r="K54" s="56" t="inlineStr">
        <is>
          <t>X</t>
        </is>
      </c>
      <c r="L54" s="54" t="inlineStr">
        <is>
          <t>СКУД (система контроля и управления доступом)</t>
        </is>
      </c>
    </row>
    <row r="55" ht="35.05" customHeight="1" s="45">
      <c r="A55" s="53" t="n">
        <v>51</v>
      </c>
      <c r="B55" s="54" t="inlineStr">
        <is>
          <t>Угрозы жизни, здоровью, террористические</t>
        </is>
      </c>
      <c r="C55" s="55" t="inlineStr">
        <is>
          <t>У-ТЕР-06</t>
        </is>
      </c>
      <c r="D55" s="54" t="inlineStr">
        <is>
          <t>Заведомо ложное сообщение об акте терроризма</t>
        </is>
      </c>
      <c r="E55" s="54" t="inlineStr">
        <is>
          <t>Ложный вызов, влекущий эвакуацию и простой деятельности объекта</t>
        </is>
      </c>
      <c r="F55" s="54" t="inlineStr">
        <is>
          <t>Постановление Правительства РФ №1006 от 02.08.2019</t>
        </is>
      </c>
      <c r="G55" s="56" t="n"/>
      <c r="H55" s="56" t="inlineStr">
        <is>
          <t>X</t>
        </is>
      </c>
      <c r="I55" s="56" t="inlineStr">
        <is>
          <t>X</t>
        </is>
      </c>
      <c r="J55" s="56" t="inlineStr">
        <is>
          <t>X</t>
        </is>
      </c>
      <c r="K55" s="56" t="inlineStr">
        <is>
          <t>X</t>
        </is>
      </c>
      <c r="L55" s="54" t="inlineStr">
        <is>
          <t>Паспорт безопасности / антитеррористическая защищённость (ПП РФ № 1006)</t>
        </is>
      </c>
    </row>
    <row r="56" ht="23.85" customHeight="1" s="45">
      <c r="A56" s="53" t="n">
        <v>52</v>
      </c>
      <c r="B56" s="54" t="inlineStr">
        <is>
          <t>Природные и техногенные угрозы</t>
        </is>
      </c>
      <c r="C56" s="55" t="inlineStr">
        <is>
          <t>У-ПРИР-01</t>
        </is>
      </c>
      <c r="D56" s="54" t="inlineStr">
        <is>
          <t>Пожар вследствие неисправности проводки/оборудования</t>
        </is>
      </c>
      <c r="E56" s="54" t="inlineStr">
        <is>
          <t>Возгорание из-за короткого замыкания, перегрузки сети</t>
        </is>
      </c>
      <c r="F56" s="54" t="inlineStr">
        <is>
          <t>Общая практика пожарной безопасности (ГОСТ Р 12.х)</t>
        </is>
      </c>
      <c r="G56" s="56" t="inlineStr">
        <is>
          <t>X</t>
        </is>
      </c>
      <c r="H56" s="56" t="inlineStr">
        <is>
          <t>X</t>
        </is>
      </c>
      <c r="I56" s="56" t="inlineStr">
        <is>
          <t>X</t>
        </is>
      </c>
      <c r="J56" s="56" t="inlineStr">
        <is>
          <t>X</t>
        </is>
      </c>
      <c r="K56" s="56" t="inlineStr">
        <is>
          <t>X</t>
        </is>
      </c>
      <c r="L56" s="54" t="inlineStr">
        <is>
          <t>Пожарная сигнализация</t>
        </is>
      </c>
    </row>
    <row r="57" ht="23.85" customHeight="1" s="45">
      <c r="A57" s="53" t="n">
        <v>53</v>
      </c>
      <c r="B57" s="54" t="inlineStr">
        <is>
          <t>Природные и техногенные угрозы</t>
        </is>
      </c>
      <c r="C57" s="55" t="inlineStr">
        <is>
          <t>У-ПРИР-02</t>
        </is>
      </c>
      <c r="D57" s="54" t="inlineStr">
        <is>
          <t>Затопление (протечка, прорыв водопровода/канализации)</t>
        </is>
      </c>
      <c r="E57" s="54" t="inlineStr">
        <is>
          <t>Повреждение имущества и оборудования водой</t>
        </is>
      </c>
      <c r="F57" s="54" t="inlineStr">
        <is>
          <t>Общая практика</t>
        </is>
      </c>
      <c r="G57" s="56" t="inlineStr">
        <is>
          <t>X</t>
        </is>
      </c>
      <c r="H57" s="56" t="inlineStr">
        <is>
          <t>X</t>
        </is>
      </c>
      <c r="I57" s="56" t="inlineStr">
        <is>
          <t>X</t>
        </is>
      </c>
      <c r="J57" s="56" t="inlineStr">
        <is>
          <t>X</t>
        </is>
      </c>
      <c r="K57" s="56" t="inlineStr">
        <is>
          <t>X</t>
        </is>
      </c>
      <c r="L57" s="54" t="inlineStr">
        <is>
          <t>Комплексный проект ИТСО «под ключ»</t>
        </is>
      </c>
    </row>
    <row r="58" ht="23.85" customHeight="1" s="45">
      <c r="A58" s="53" t="n">
        <v>54</v>
      </c>
      <c r="B58" s="54" t="inlineStr">
        <is>
          <t>Природные и техногенные угрозы</t>
        </is>
      </c>
      <c r="C58" s="55" t="inlineStr">
        <is>
          <t>У-ПРИР-03</t>
        </is>
      </c>
      <c r="D58" s="54" t="inlineStr">
        <is>
          <t>Аварийное отключение электроснабжения</t>
        </is>
      </c>
      <c r="E58" s="54" t="inlineStr">
        <is>
          <t>Прекращение работы систем безопасности и информационных систем при отключении питания</t>
        </is>
      </c>
      <c r="F58" s="54" t="inlineStr">
        <is>
          <t>Общая практика</t>
        </is>
      </c>
      <c r="G58" s="56" t="inlineStr">
        <is>
          <t>X</t>
        </is>
      </c>
      <c r="H58" s="56" t="inlineStr">
        <is>
          <t>X</t>
        </is>
      </c>
      <c r="I58" s="56" t="inlineStr">
        <is>
          <t>X</t>
        </is>
      </c>
      <c r="J58" s="56" t="inlineStr">
        <is>
          <t>X</t>
        </is>
      </c>
      <c r="K58" s="56" t="inlineStr">
        <is>
          <t>X</t>
        </is>
      </c>
      <c r="L58" s="54" t="inlineStr">
        <is>
          <t>Резервное копирование и восстановление (Backup/DR)</t>
        </is>
      </c>
    </row>
    <row r="59" ht="23.85" customHeight="1" s="45">
      <c r="A59" s="53" t="n">
        <v>55</v>
      </c>
      <c r="B59" s="54" t="inlineStr">
        <is>
          <t>Природные и техногенные угрозы</t>
        </is>
      </c>
      <c r="C59" s="55" t="inlineStr">
        <is>
          <t>У-ПРИР-04</t>
        </is>
      </c>
      <c r="D59" s="54" t="inlineStr">
        <is>
          <t>Стихийное бедствие (ураган, паводок, землетрясение)</t>
        </is>
      </c>
      <c r="E59" s="54" t="inlineStr">
        <is>
          <t>Природные явления, повреждающие объект в зависимости от региона расположения</t>
        </is>
      </c>
      <c r="F59" s="54" t="inlineStr">
        <is>
          <t>ГОСТ Р 22.0.02 (безопасность в ЧС, термины)</t>
        </is>
      </c>
      <c r="G59" s="56" t="inlineStr">
        <is>
          <t>X</t>
        </is>
      </c>
      <c r="H59" s="56" t="inlineStr">
        <is>
          <t>X</t>
        </is>
      </c>
      <c r="I59" s="56" t="inlineStr">
        <is>
          <t>X</t>
        </is>
      </c>
      <c r="J59" s="56" t="inlineStr">
        <is>
          <t>X</t>
        </is>
      </c>
      <c r="K59" s="56" t="inlineStr">
        <is>
          <t>X</t>
        </is>
      </c>
      <c r="L59" s="54" t="inlineStr">
        <is>
          <t>Комплексный проект ИТСО «под ключ»</t>
        </is>
      </c>
    </row>
    <row r="60" ht="23.85" customHeight="1" s="45">
      <c r="A60" s="53" t="n">
        <v>56</v>
      </c>
      <c r="B60" s="54" t="inlineStr">
        <is>
          <t>Природные и техногенные угрозы</t>
        </is>
      </c>
      <c r="C60" s="55" t="inlineStr">
        <is>
          <t>У-ПРИР-05</t>
        </is>
      </c>
      <c r="D60" s="54" t="inlineStr">
        <is>
          <t>Утечка бытового/технического газа</t>
        </is>
      </c>
      <c r="E60" s="54" t="inlineStr">
        <is>
          <t>Разгерметизация газовой линии, создающая угрозу взрыва/отравления</t>
        </is>
      </c>
      <c r="F60" s="54" t="inlineStr">
        <is>
          <t>Общая практика</t>
        </is>
      </c>
      <c r="G60" s="56" t="inlineStr">
        <is>
          <t>X</t>
        </is>
      </c>
      <c r="H60" s="56" t="inlineStr">
        <is>
          <t>X</t>
        </is>
      </c>
      <c r="I60" s="56" t="inlineStr">
        <is>
          <t>X</t>
        </is>
      </c>
      <c r="J60" s="56" t="inlineStr">
        <is>
          <t>X</t>
        </is>
      </c>
      <c r="K60" s="56" t="inlineStr">
        <is>
          <t>X</t>
        </is>
      </c>
      <c r="L60" s="54" t="inlineStr">
        <is>
          <t>Пожарная сигнализация</t>
        </is>
      </c>
    </row>
    <row r="61" ht="23.85" customHeight="1" s="45">
      <c r="A61" s="53" t="n">
        <v>57</v>
      </c>
      <c r="B61" s="54" t="inlineStr">
        <is>
          <t>Природные и техногенные угрозы</t>
        </is>
      </c>
      <c r="C61" s="55" t="inlineStr">
        <is>
          <t>У-ПРИР-06</t>
        </is>
      </c>
      <c r="D61" s="54" t="inlineStr">
        <is>
          <t>Обрушение конструктивных элементов здания</t>
        </is>
      </c>
      <c r="E61" s="54" t="inlineStr">
        <is>
          <t>Разрушение несущих конструкций вследствие износа, аварии, взрыва</t>
        </is>
      </c>
      <c r="F61" s="54" t="inlineStr">
        <is>
          <t>Общая практика</t>
        </is>
      </c>
      <c r="G61" s="56" t="inlineStr">
        <is>
          <t>X</t>
        </is>
      </c>
      <c r="H61" s="56" t="inlineStr">
        <is>
          <t>X</t>
        </is>
      </c>
      <c r="I61" s="56" t="inlineStr">
        <is>
          <t>X</t>
        </is>
      </c>
      <c r="J61" s="56" t="inlineStr">
        <is>
          <t>X</t>
        </is>
      </c>
      <c r="K61" s="56" t="inlineStr">
        <is>
          <t>X</t>
        </is>
      </c>
      <c r="L61" s="54" t="inlineStr">
        <is>
          <t>Комплексный проект ИТСО «под ключ»</t>
        </is>
      </c>
    </row>
    <row r="62" ht="35.05" customHeight="1" s="45">
      <c r="A62" s="53" t="n">
        <v>58</v>
      </c>
      <c r="B62" s="54" t="inlineStr">
        <is>
          <t>Промышленные системы / КИИ</t>
        </is>
      </c>
      <c r="C62" s="55" t="inlineStr">
        <is>
          <t>У-АСУ-01</t>
        </is>
      </c>
      <c r="D62" s="54" t="inlineStr">
        <is>
          <t>Несанкционированное вмешательство в работу ПЛК/SCADA/HMI</t>
        </is>
      </c>
      <c r="E62" s="54" t="inlineStr">
        <is>
          <t>Изменение параметров технологического процесса через интерфейс управления</t>
        </is>
      </c>
      <c r="F62" s="54" t="inlineStr">
        <is>
          <t>ФЗ №187-ФЗ «О безопасности КИИ»; приказы ФСТЭК №235, №239</t>
        </is>
      </c>
      <c r="G62" s="56" t="n"/>
      <c r="H62" s="56" t="n"/>
      <c r="I62" s="56" t="inlineStr">
        <is>
          <t>X</t>
        </is>
      </c>
      <c r="J62" s="56" t="n"/>
      <c r="K62" s="56" t="n"/>
      <c r="L62" s="54" t="inlineStr">
        <is>
          <t>Категорирование объекта КИИ (187-ФЗ)</t>
        </is>
      </c>
    </row>
    <row r="63" ht="23.85" customHeight="1" s="45">
      <c r="A63" s="53" t="n">
        <v>59</v>
      </c>
      <c r="B63" s="54" t="inlineStr">
        <is>
          <t>Промышленные системы / КИИ</t>
        </is>
      </c>
      <c r="C63" s="55" t="inlineStr">
        <is>
          <t>У-АСУ-02</t>
        </is>
      </c>
      <c r="D63" s="54" t="inlineStr">
        <is>
          <t>Нарушение технологического процесса вследствие кибератаки на АСУ ТП</t>
        </is>
      </c>
      <c r="E63" s="54" t="inlineStr">
        <is>
          <t>Остановка или разбалансировка производственного процесса</t>
        </is>
      </c>
      <c r="F63" s="54" t="inlineStr">
        <is>
          <t>Приказ ФСТЭК №239; MITRE ATT&amp;CK for ICS</t>
        </is>
      </c>
      <c r="G63" s="56" t="n"/>
      <c r="H63" s="56" t="n"/>
      <c r="I63" s="56" t="inlineStr">
        <is>
          <t>X</t>
        </is>
      </c>
      <c r="J63" s="56" t="n"/>
      <c r="K63" s="56" t="n"/>
      <c r="L63" s="54" t="inlineStr">
        <is>
          <t>Категорирование объекта КИИ (187-ФЗ)</t>
        </is>
      </c>
    </row>
    <row r="64" ht="35.05" customHeight="1" s="45">
      <c r="A64" s="53" t="n">
        <v>60</v>
      </c>
      <c r="B64" s="54" t="inlineStr">
        <is>
          <t>Промышленные системы / КИИ</t>
        </is>
      </c>
      <c r="C64" s="55" t="inlineStr">
        <is>
          <t>У-АСУ-03</t>
        </is>
      </c>
      <c r="D64" s="54" t="inlineStr">
        <is>
          <t>Физическое повреждение производственного оборудования как способ атаки</t>
        </is>
      </c>
      <c r="E64" s="54" t="inlineStr">
        <is>
          <t>Вывод оборудования из строя путём манипуляции режимами работы</t>
        </is>
      </c>
      <c r="F64" s="54" t="inlineStr">
        <is>
          <t>Приказ ФСТЭК №239</t>
        </is>
      </c>
      <c r="G64" s="56" t="n"/>
      <c r="H64" s="56" t="n"/>
      <c r="I64" s="56" t="inlineStr">
        <is>
          <t>X</t>
        </is>
      </c>
      <c r="J64" s="56" t="n"/>
      <c r="K64" s="56" t="n"/>
      <c r="L64" s="54" t="inlineStr">
        <is>
          <t>СОТ (система видеонаблюдения)</t>
        </is>
      </c>
    </row>
    <row r="65" ht="35.05" customHeight="1" s="45">
      <c r="A65" s="53" t="n">
        <v>61</v>
      </c>
      <c r="B65" s="54" t="inlineStr">
        <is>
          <t>Промышленные системы / КИИ</t>
        </is>
      </c>
      <c r="C65" s="55" t="inlineStr">
        <is>
          <t>У-АСУ-04</t>
        </is>
      </c>
      <c r="D65" s="54" t="inlineStr">
        <is>
          <t>Компрометация систем удалённого мониторинга и телеметрии</t>
        </is>
      </c>
      <c r="E65" s="54" t="inlineStr">
        <is>
          <t>Несанкционированный доступ к системе диспетчеризации здания/производства (BMS/АСУЗ)</t>
        </is>
      </c>
      <c r="F65" s="54" t="inlineStr">
        <is>
          <t>Отраслевая практика; приказ ФСТЭК №239</t>
        </is>
      </c>
      <c r="G65" s="56" t="n"/>
      <c r="H65" s="56" t="n"/>
      <c r="I65" s="56" t="inlineStr">
        <is>
          <t>X</t>
        </is>
      </c>
      <c r="J65" s="56" t="n"/>
      <c r="K65" s="56" t="inlineStr">
        <is>
          <t>X</t>
        </is>
      </c>
      <c r="L65" s="54" t="inlineStr">
        <is>
          <t>SIEM / SOC-мониторинг</t>
        </is>
      </c>
    </row>
    <row r="66" ht="23.85" customHeight="1" s="45">
      <c r="A66" s="53" t="n">
        <v>62</v>
      </c>
      <c r="B66" s="54" t="inlineStr">
        <is>
          <t>Организационно-административные</t>
        </is>
      </c>
      <c r="C66" s="55" t="inlineStr">
        <is>
          <t>У-ОРГ-01</t>
        </is>
      </c>
      <c r="D66" s="54" t="inlineStr">
        <is>
          <t>Отсутствие или устаревание политики информационной безопасности</t>
        </is>
      </c>
      <c r="E66" s="54" t="inlineStr">
        <is>
          <t>Регламенты не пересматривались и не отражают текущую инфраструктуру и угрозы</t>
        </is>
      </c>
      <c r="F66" s="54" t="inlineStr">
        <is>
          <t>Учебник УПЗИ; общая практика</t>
        </is>
      </c>
      <c r="G66" s="56" t="n"/>
      <c r="H66" s="56" t="inlineStr">
        <is>
          <t>X</t>
        </is>
      </c>
      <c r="I66" s="56" t="inlineStr">
        <is>
          <t>X</t>
        </is>
      </c>
      <c r="J66" s="56" t="inlineStr">
        <is>
          <t>X</t>
        </is>
      </c>
      <c r="K66" s="56" t="inlineStr">
        <is>
          <t>X</t>
        </is>
      </c>
      <c r="L66" s="54" t="inlineStr">
        <is>
          <t>Разработка политики и регламентов ИБ</t>
        </is>
      </c>
    </row>
    <row r="67" ht="23.85" customHeight="1" s="45">
      <c r="A67" s="53" t="n">
        <v>63</v>
      </c>
      <c r="B67" s="54" t="inlineStr">
        <is>
          <t>Организационно-административные</t>
        </is>
      </c>
      <c r="C67" s="55" t="inlineStr">
        <is>
          <t>У-ОРГ-02</t>
        </is>
      </c>
      <c r="D67" s="54" t="inlineStr">
        <is>
          <t>Формальное выполнение требований без фактического контроля</t>
        </is>
      </c>
      <c r="E67" s="54" t="inlineStr">
        <is>
          <t>Документы оформлены, но меры защиты не работают на практике</t>
        </is>
      </c>
      <c r="F67" s="54" t="inlineStr">
        <is>
          <t>Общая практика аудита ИБ</t>
        </is>
      </c>
      <c r="G67" s="56" t="n"/>
      <c r="H67" s="56" t="inlineStr">
        <is>
          <t>X</t>
        </is>
      </c>
      <c r="I67" s="56" t="inlineStr">
        <is>
          <t>X</t>
        </is>
      </c>
      <c r="J67" s="56" t="inlineStr">
        <is>
          <t>X</t>
        </is>
      </c>
      <c r="K67" s="56" t="inlineStr">
        <is>
          <t>X</t>
        </is>
      </c>
      <c r="L67" s="54" t="inlineStr">
        <is>
          <t>Аудит / пентест информационной безопасности</t>
        </is>
      </c>
    </row>
    <row r="68" ht="23.85" customHeight="1" s="45">
      <c r="A68" s="53" t="n">
        <v>64</v>
      </c>
      <c r="B68" s="54" t="inlineStr">
        <is>
          <t>Организационно-административные</t>
        </is>
      </c>
      <c r="C68" s="55" t="inlineStr">
        <is>
          <t>У-ОРГ-03</t>
        </is>
      </c>
      <c r="D68" s="54" t="inlineStr">
        <is>
          <t>Несвоевременное категорирование объекта КИИ или его занижение</t>
        </is>
      </c>
      <c r="E68" s="54" t="inlineStr">
        <is>
          <t>Объект не отнесён (или намеренно занижен) к нужной категории значимости</t>
        </is>
      </c>
      <c r="F68" s="54" t="inlineStr">
        <is>
          <t>ФЗ №187-ФЗ «О безопасности КИИ»</t>
        </is>
      </c>
      <c r="G68" s="56" t="n"/>
      <c r="H68" s="56" t="n"/>
      <c r="I68" s="56" t="inlineStr">
        <is>
          <t>X</t>
        </is>
      </c>
      <c r="J68" s="56" t="n"/>
      <c r="K68" s="56" t="n"/>
      <c r="L68" s="54" t="inlineStr">
        <is>
          <t>Категорирование объекта КИИ (187-ФЗ)</t>
        </is>
      </c>
    </row>
    <row r="69" ht="23.85" customHeight="1" s="45">
      <c r="A69" s="53" t="n">
        <v>65</v>
      </c>
      <c r="B69" s="54" t="inlineStr">
        <is>
          <t>Организационно-административные</t>
        </is>
      </c>
      <c r="C69" s="55" t="inlineStr">
        <is>
          <t>У-ОРГ-04</t>
        </is>
      </c>
      <c r="D69" s="54" t="inlineStr">
        <is>
          <t>Обработка персональных данных без надлежащего правового основания</t>
        </is>
      </c>
      <c r="E69" s="54" t="inlineStr">
        <is>
          <t>Нарушение требований 152-ФЗ о согласии субъекта и целях обработки</t>
        </is>
      </c>
      <c r="F69" s="54" t="inlineStr">
        <is>
          <t>ФЗ №152-ФЗ «О персональных данных»</t>
        </is>
      </c>
      <c r="G69" s="56" t="inlineStr">
        <is>
          <t>X</t>
        </is>
      </c>
      <c r="H69" s="56" t="inlineStr">
        <is>
          <t>X</t>
        </is>
      </c>
      <c r="I69" s="56" t="inlineStr">
        <is>
          <t>X</t>
        </is>
      </c>
      <c r="J69" s="56" t="inlineStr">
        <is>
          <t>X</t>
        </is>
      </c>
      <c r="K69" s="56" t="inlineStr">
        <is>
          <t>X</t>
        </is>
      </c>
      <c r="L69" s="54" t="inlineStr">
        <is>
          <t>Приведение обработки ПДн в соответствие 152-ФЗ</t>
        </is>
      </c>
    </row>
    <row r="70" ht="35.05" customHeight="1" s="45">
      <c r="A70" s="53" t="n">
        <v>66</v>
      </c>
      <c r="B70" s="54" t="inlineStr">
        <is>
          <t>Организационно-административные</t>
        </is>
      </c>
      <c r="C70" s="55" t="inlineStr">
        <is>
          <t>У-ОРГ-05</t>
        </is>
      </c>
      <c r="D70" s="54" t="inlineStr">
        <is>
          <t>Отсутствие паспорта безопасности объекта или его несоответствие категории</t>
        </is>
      </c>
      <c r="E70" s="54" t="inlineStr">
        <is>
          <t>Формальный документ не отражает реальную категорию опасности объекта</t>
        </is>
      </c>
      <c r="F70" s="54" t="inlineStr">
        <is>
          <t>Постановление Правительства РФ №1006 от 02.08.2019</t>
        </is>
      </c>
      <c r="G70" s="56" t="n"/>
      <c r="H70" s="56" t="n"/>
      <c r="I70" s="56" t="n"/>
      <c r="J70" s="56" t="inlineStr">
        <is>
          <t>X</t>
        </is>
      </c>
      <c r="K70" s="56" t="inlineStr">
        <is>
          <t>X</t>
        </is>
      </c>
      <c r="L70" s="54" t="inlineStr">
        <is>
          <t>Паспорт безопасности / антитеррористическая защищённость (ПП РФ № 1006)</t>
        </is>
      </c>
    </row>
    <row r="71" ht="23.85" customHeight="1" s="45">
      <c r="A71" s="53" t="n">
        <v>67</v>
      </c>
      <c r="B71" s="54" t="inlineStr">
        <is>
          <t>Организационно-административные</t>
        </is>
      </c>
      <c r="C71" s="55" t="inlineStr">
        <is>
          <t>У-ОРГ-06</t>
        </is>
      </c>
      <c r="D71" s="54" t="inlineStr">
        <is>
          <t>Отсутствие обучения персонала действиям при угрозах</t>
        </is>
      </c>
      <c r="E71" s="54" t="inlineStr">
        <is>
          <t>Персонал не знает алгоритм действий при пожаре, теракте, фишинговой атаке</t>
        </is>
      </c>
      <c r="F71" s="54" t="inlineStr">
        <is>
          <t>Постановление Правительства РФ №1006; общая практика</t>
        </is>
      </c>
      <c r="G71" s="56" t="inlineStr">
        <is>
          <t>X</t>
        </is>
      </c>
      <c r="H71" s="56" t="inlineStr">
        <is>
          <t>X</t>
        </is>
      </c>
      <c r="I71" s="56" t="inlineStr">
        <is>
          <t>X</t>
        </is>
      </c>
      <c r="J71" s="56" t="inlineStr">
        <is>
          <t>X</t>
        </is>
      </c>
      <c r="K71" s="56" t="inlineStr">
        <is>
          <t>X</t>
        </is>
      </c>
      <c r="L71" s="54" t="inlineStr">
        <is>
          <t>Программа обучения персонала (security awareness)</t>
        </is>
      </c>
    </row>
    <row r="72" ht="23.85" customHeight="1" s="45">
      <c r="A72" s="53" t="n">
        <v>68</v>
      </c>
      <c r="B72" s="54" t="inlineStr">
        <is>
          <t>Организационно-административные</t>
        </is>
      </c>
      <c r="C72" s="55" t="inlineStr">
        <is>
          <t>У-ОРГ-07</t>
        </is>
      </c>
      <c r="D72" s="54" t="inlineStr">
        <is>
          <t>Формальное («для галочки») прохождение обучения персоналом</t>
        </is>
      </c>
      <c r="E72" s="54" t="inlineStr">
        <is>
          <t>Тренинг проведён, но не выработал реальных навыков реагирования</t>
        </is>
      </c>
      <c r="F72" s="54" t="inlineStr">
        <is>
          <t>Общая практика security awareness</t>
        </is>
      </c>
      <c r="G72" s="56" t="n"/>
      <c r="H72" s="56" t="inlineStr">
        <is>
          <t>X</t>
        </is>
      </c>
      <c r="I72" s="56" t="inlineStr">
        <is>
          <t>X</t>
        </is>
      </c>
      <c r="J72" s="56" t="inlineStr">
        <is>
          <t>X</t>
        </is>
      </c>
      <c r="K72" s="56" t="inlineStr">
        <is>
          <t>X</t>
        </is>
      </c>
      <c r="L72" s="54" t="inlineStr">
        <is>
          <t>Программа обучения персонала (security awareness)</t>
        </is>
      </c>
    </row>
    <row r="73" ht="23.85" customHeight="1" s="45">
      <c r="A73" s="53" t="n">
        <v>69</v>
      </c>
      <c r="B73" s="54" t="inlineStr">
        <is>
          <t>Организационно-административные</t>
        </is>
      </c>
      <c r="C73" s="55" t="inlineStr">
        <is>
          <t>У-ОРГ-08</t>
        </is>
      </c>
      <c r="D73" s="54" t="inlineStr">
        <is>
          <t>Отсутствие независимого аудита, самооценка выдаётся за проверку</t>
        </is>
      </c>
      <c r="E73" s="54" t="inlineStr">
        <is>
          <t>Контроль защищённости проводится теми же, кто её обеспечивает, без независимой стороны</t>
        </is>
      </c>
      <c r="F73" s="54" t="inlineStr">
        <is>
          <t>Общая практика аудита ИБ</t>
        </is>
      </c>
      <c r="G73" s="56" t="n"/>
      <c r="H73" s="56" t="inlineStr">
        <is>
          <t>X</t>
        </is>
      </c>
      <c r="I73" s="56" t="inlineStr">
        <is>
          <t>X</t>
        </is>
      </c>
      <c r="J73" s="56" t="inlineStr">
        <is>
          <t>X</t>
        </is>
      </c>
      <c r="K73" s="56" t="inlineStr">
        <is>
          <t>X</t>
        </is>
      </c>
      <c r="L73" s="54" t="inlineStr">
        <is>
          <t>Аудит / пентест информационной безопасности</t>
        </is>
      </c>
    </row>
    <row r="74" ht="35.05" customHeight="1" s="45">
      <c r="A74" s="53" t="n">
        <v>70</v>
      </c>
      <c r="B74" s="54" t="inlineStr">
        <is>
          <t>Организационно-административные</t>
        </is>
      </c>
      <c r="C74" s="55" t="inlineStr">
        <is>
          <t>У-ОРГ-09</t>
        </is>
      </c>
      <c r="D74" s="54" t="inlineStr">
        <is>
          <t>Расхождение фактической конфигурации системы с документацией</t>
        </is>
      </c>
      <c r="E74" s="54" t="inlineStr">
        <is>
          <t>Реальные настройки средств защиты не соответствуют описанным в проектной документации</t>
        </is>
      </c>
      <c r="F74" s="54" t="inlineStr">
        <is>
          <t>Общая практика аудита ИБ</t>
        </is>
      </c>
      <c r="G74" s="56" t="n"/>
      <c r="H74" s="56" t="inlineStr">
        <is>
          <t>X</t>
        </is>
      </c>
      <c r="I74" s="56" t="inlineStr">
        <is>
          <t>X</t>
        </is>
      </c>
      <c r="J74" s="56" t="inlineStr">
        <is>
          <t>X</t>
        </is>
      </c>
      <c r="K74" s="56" t="inlineStr">
        <is>
          <t>X</t>
        </is>
      </c>
      <c r="L74" s="54" t="inlineStr">
        <is>
          <t>Аудит / пентест информационной безопасности</t>
        </is>
      </c>
    </row>
    <row r="76" ht="75" customHeight="1" s="45">
      <c r="A76" s="57" t="inlineStr">
        <is>
          <t>Как следует из таблицы 1, база расширена с 47 до 70 угроз за счёт включения программно-аппаратных проектов (МЭ/NGFW, DLP, IAM/MFA/SSO, SIEM/SOC, Backup/DR, СКЗИ) и организационно-административных проектов (политика ИБ, категорирование КИИ, 152-ФЗ, паспорт безопасности, аудит, обучение персонала). Колонка «Профильный тип проекта» связывает каждую угрозу с конкретным типом проекта из рулетки на листе «Рулетка_проекта», что позволяет студенту после случайного выбора типа проекта быстро найти относящиеся к нему угрозы и включить их в модель угроз заказчика, дополнив угрозами, актуальными для выбранного ранее объекта защиты.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69"/>
  <mergeCells count="3">
    <mergeCell ref="A76:L76"/>
    <mergeCell ref="A2:L2"/>
    <mergeCell ref="A1:L1"/>
  </mergeCells>
  <conditionalFormatting sqref="G5:G74">
    <cfRule type="expression" rank="0" priority="2" equalAverage="0" aboveAverage="0" dxfId="0" text="" percent="0" bottom="0">
      <formula>G5="X"</formula>
    </cfRule>
  </conditionalFormatting>
  <conditionalFormatting sqref="H5:H74">
    <cfRule type="expression" rank="0" priority="3" equalAverage="0" aboveAverage="0" dxfId="0" text="" percent="0" bottom="0">
      <formula>H5="X"</formula>
    </cfRule>
  </conditionalFormatting>
  <conditionalFormatting sqref="I5:I74">
    <cfRule type="expression" rank="0" priority="4" equalAverage="0" aboveAverage="0" dxfId="0" text="" percent="0" bottom="0">
      <formula>I5="X"</formula>
    </cfRule>
  </conditionalFormatting>
  <conditionalFormatting sqref="J5:J74">
    <cfRule type="expression" rank="0" priority="5" equalAverage="0" aboveAverage="0" dxfId="0" text="" percent="0" bottom="0">
      <formula>J5="X"</formula>
    </cfRule>
  </conditionalFormatting>
  <conditionalFormatting sqref="K5:K74">
    <cfRule type="expression" rank="0" priority="6" equalAverage="0" aboveAverage="0" dxfId="0" text="" percent="0" bottom="0">
      <formula>K5="X"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44" min="1" max="1"/>
    <col width="24" customWidth="1" style="44" min="2" max="2"/>
    <col width="10" customWidth="1" style="44" min="3" max="3"/>
    <col width="36" customWidth="1" style="44" min="4" max="4"/>
    <col width="26" customWidth="1" style="44" min="5" max="5"/>
    <col width="14" customWidth="1" style="44" min="6" max="6"/>
    <col width="16" customWidth="1" style="44" min="7" max="7"/>
    <col width="12" customWidth="1" style="44" min="8" max="8"/>
  </cols>
  <sheetData>
    <row r="1" ht="16.15" customHeight="1" s="45">
      <c r="A1" s="51" t="inlineStr">
        <is>
          <t>Модель угроз для объекта заказчика — рабочий бланк студента</t>
        </is>
      </c>
    </row>
    <row r="2"/>
    <row r="3" ht="15" customHeight="1" s="45">
      <c r="A3" s="58" t="inlineStr">
        <is>
          <t>Тип объекта →</t>
        </is>
      </c>
      <c r="B3" s="59" t="inlineStr">
        <is>
          <t>Частный дом</t>
        </is>
      </c>
    </row>
    <row r="4" ht="15" customHeight="1" s="45">
      <c r="A4" s="58" t="inlineStr">
        <is>
          <t>ФИО студента:</t>
        </is>
      </c>
      <c r="B4" s="60" t="n"/>
    </row>
    <row r="5"/>
    <row r="6" ht="25.35" customHeight="1" s="45">
      <c r="A6" s="52" t="inlineStr">
        <is>
          <t>№</t>
        </is>
      </c>
      <c r="B6" s="52" t="inlineStr">
        <is>
          <t>Категория</t>
        </is>
      </c>
      <c r="C6" s="52" t="inlineStr">
        <is>
          <t>Код</t>
        </is>
      </c>
      <c r="D6" s="52" t="inlineStr">
        <is>
          <t>Наименование угрозы</t>
        </is>
      </c>
      <c r="E6" s="52" t="inlineStr">
        <is>
          <t>Профильный тип проекта</t>
        </is>
      </c>
      <c r="F6" s="52" t="inlineStr">
        <is>
          <t>Флажок студента (v)</t>
        </is>
      </c>
      <c r="G6" s="52" t="inlineStr">
        <is>
          <t>Эталон (для проверки)</t>
        </is>
      </c>
      <c r="H6" s="52" t="inlineStr">
        <is>
          <t>Проверка</t>
        </is>
      </c>
    </row>
    <row r="7" ht="23.85" customHeight="1" s="45">
      <c r="A7" s="53" t="n">
        <v>1</v>
      </c>
      <c r="B7" s="61" t="inlineStr">
        <is>
          <t>Информационно-технические (кибер)</t>
        </is>
      </c>
      <c r="C7" s="62" t="inlineStr">
        <is>
          <t>У-ИБ-01</t>
        </is>
      </c>
      <c r="D7" s="63" t="inlineStr">
        <is>
          <t>Внедрение вредоносного программного обеспечения</t>
        </is>
      </c>
      <c r="E7" s="64" t="inlineStr">
        <is>
          <t>Антивирус корпоративного класса / EDR</t>
        </is>
      </c>
      <c r="F7" s="65" t="n"/>
      <c r="G7" s="66">
        <f>IF(INDEX(База_угроз_эталон!$G$5:$K$5,MATCH($B$3,База_угроз_эталон!$G$4:$K$4,0))="X","X","-")</f>
        <v/>
      </c>
      <c r="H7" s="67">
        <f>IF(TRIM(F7)="","нет отметки",IF((TRIM(F7)="v")=(G7="X"),"верно","неверно"))</f>
        <v/>
      </c>
    </row>
    <row r="8" ht="23.85" customHeight="1" s="45">
      <c r="A8" s="53" t="n">
        <v>2</v>
      </c>
      <c r="B8" s="61" t="inlineStr">
        <is>
          <t>Информационно-технические (кибер)</t>
        </is>
      </c>
      <c r="C8" s="62" t="inlineStr">
        <is>
          <t>У-ИБ-02</t>
        </is>
      </c>
      <c r="D8" s="63" t="inlineStr">
        <is>
          <t>Атака программы-вымогателя (ransomware)</t>
        </is>
      </c>
      <c r="E8" s="64" t="inlineStr">
        <is>
          <t>Антивирус корпоративного класса / EDR</t>
        </is>
      </c>
      <c r="F8" s="65" t="n"/>
      <c r="G8" s="66">
        <f>IF(INDEX(База_угроз_эталон!$G$6:$K$6,MATCH($B$3,База_угроз_эталон!$G$4:$K$4,0))="X","X","-")</f>
        <v/>
      </c>
      <c r="H8" s="67">
        <f>IF(TRIM(F8)="","нет отметки",IF((TRIM(F8)="v")=(G8="X"),"верно","неверно"))</f>
        <v/>
      </c>
    </row>
    <row r="9" ht="23.85" customHeight="1" s="45">
      <c r="A9" s="53" t="n">
        <v>3</v>
      </c>
      <c r="B9" s="61" t="inlineStr">
        <is>
          <t>Информационно-технические (кибер)</t>
        </is>
      </c>
      <c r="C9" s="62" t="inlineStr">
        <is>
          <t>У-ИБ-03</t>
        </is>
      </c>
      <c r="D9" s="63" t="inlineStr">
        <is>
          <t>Двойное/тройное вымогательство</t>
        </is>
      </c>
      <c r="E9" s="64" t="inlineStr">
        <is>
          <t>Резервное копирование и восстановление (Backup/DR)</t>
        </is>
      </c>
      <c r="F9" s="65" t="n"/>
      <c r="G9" s="66">
        <f>IF(INDEX(База_угроз_эталон!$G$7:$K$7,MATCH($B$3,База_угроз_эталон!$G$4:$K$4,0))="X","X","-")</f>
        <v/>
      </c>
      <c r="H9" s="67">
        <f>IF(TRIM(F9)="","нет отметки",IF((TRIM(F9)="v")=(G9="X"),"верно","неверно"))</f>
        <v/>
      </c>
    </row>
    <row r="10" ht="23.85" customHeight="1" s="45">
      <c r="A10" s="53" t="n">
        <v>4</v>
      </c>
      <c r="B10" s="61" t="inlineStr">
        <is>
          <t>Информационно-технические (кибер)</t>
        </is>
      </c>
      <c r="C10" s="62" t="inlineStr">
        <is>
          <t>У-ИБ-04</t>
        </is>
      </c>
      <c r="D10" s="63" t="inlineStr">
        <is>
          <t>Фишинговая рассылка</t>
        </is>
      </c>
      <c r="E10" s="64" t="inlineStr">
        <is>
          <t>Программа обучения персонала (security awareness)</t>
        </is>
      </c>
      <c r="F10" s="65" t="n"/>
      <c r="G10" s="66">
        <f>IF(INDEX(База_угроз_эталон!$G$8:$K$8,MATCH($B$3,База_угроз_эталон!$G$4:$K$4,0))="X","X","-")</f>
        <v/>
      </c>
      <c r="H10" s="67">
        <f>IF(TRIM(F10)="","нет отметки",IF((TRIM(F10)="v")=(G10="X"),"верно","неверно"))</f>
        <v/>
      </c>
    </row>
    <row r="11" ht="23.85" customHeight="1" s="45">
      <c r="A11" s="53" t="n">
        <v>5</v>
      </c>
      <c r="B11" s="61" t="inlineStr">
        <is>
          <t>Информационно-технические (кибер)</t>
        </is>
      </c>
      <c r="C11" s="62" t="inlineStr">
        <is>
          <t>У-ИБ-05</t>
        </is>
      </c>
      <c r="D11" s="63" t="inlineStr">
        <is>
          <t>Целевой фишинг (spear-phishing)</t>
        </is>
      </c>
      <c r="E11" s="64" t="inlineStr">
        <is>
          <t>Программа обучения персонала (security awareness)</t>
        </is>
      </c>
      <c r="F11" s="65" t="n"/>
      <c r="G11" s="66">
        <f>IF(INDEX(База_угроз_эталон!$G$9:$K$9,MATCH($B$3,База_угроз_эталон!$G$4:$K$4,0))="X","X","-")</f>
        <v/>
      </c>
      <c r="H11" s="67">
        <f>IF(TRIM(F11)="","нет отметки",IF((TRIM(F11)="v")=(G11="X"),"верно","неверно"))</f>
        <v/>
      </c>
    </row>
    <row r="12" ht="23.85" customHeight="1" s="45">
      <c r="A12" s="53" t="n">
        <v>6</v>
      </c>
      <c r="B12" s="61" t="inlineStr">
        <is>
          <t>Информационно-технические (кибер)</t>
        </is>
      </c>
      <c r="C12" s="62" t="inlineStr">
        <is>
          <t>У-ИБ-06</t>
        </is>
      </c>
      <c r="D12" s="63" t="inlineStr">
        <is>
          <t>Несанкционированный доступ через компрометацию пароля</t>
        </is>
      </c>
      <c r="E12" s="64" t="inlineStr">
        <is>
          <t>IAM / MFA / SSO</t>
        </is>
      </c>
      <c r="F12" s="65" t="n"/>
      <c r="G12" s="66">
        <f>IF(INDEX(База_угроз_эталон!$G$10:$K$10,MATCH($B$3,База_угроз_эталон!$G$4:$K$4,0))="X","X","-")</f>
        <v/>
      </c>
      <c r="H12" s="67">
        <f>IF(TRIM(F12)="","нет отметки",IF((TRIM(F12)="v")=(G12="X"),"верно","неверно"))</f>
        <v/>
      </c>
    </row>
    <row r="13" ht="23.85" customHeight="1" s="45">
      <c r="A13" s="53" t="n">
        <v>7</v>
      </c>
      <c r="B13" s="61" t="inlineStr">
        <is>
          <t>Информационно-технические (кибер)</t>
        </is>
      </c>
      <c r="C13" s="62" t="inlineStr">
        <is>
          <t>У-ИБ-07</t>
        </is>
      </c>
      <c r="D13" s="63" t="inlineStr">
        <is>
          <t>Эксплуатация уязвимостей ПО (включая 0-day)</t>
        </is>
      </c>
      <c r="E13" s="64" t="inlineStr">
        <is>
          <t>Аудит / пентест информационной безопасности</t>
        </is>
      </c>
      <c r="F13" s="65" t="n"/>
      <c r="G13" s="66">
        <f>IF(INDEX(База_угроз_эталон!$G$11:$K$11,MATCH($B$3,База_угроз_эталон!$G$4:$K$4,0))="X","X","-")</f>
        <v/>
      </c>
      <c r="H13" s="67">
        <f>IF(TRIM(F13)="","нет отметки",IF((TRIM(F13)="v")=(G13="X"),"верно","неверно"))</f>
        <v/>
      </c>
    </row>
    <row r="14" ht="15" customHeight="1" s="45">
      <c r="A14" s="53" t="n">
        <v>8</v>
      </c>
      <c r="B14" s="61" t="inlineStr">
        <is>
          <t>Информационно-технические (кибер)</t>
        </is>
      </c>
      <c r="C14" s="62" t="inlineStr">
        <is>
          <t>У-ИБ-08</t>
        </is>
      </c>
      <c r="D14" s="63" t="inlineStr">
        <is>
          <t>DDoS-атака</t>
        </is>
      </c>
      <c r="E14" s="64" t="inlineStr">
        <is>
          <t>Межсетевой экран / NGFW</t>
        </is>
      </c>
      <c r="F14" s="65" t="n"/>
      <c r="G14" s="66">
        <f>IF(INDEX(База_угроз_эталон!$G$12:$K$12,MATCH($B$3,База_угроз_эталон!$G$4:$K$4,0))="X","X","-")</f>
        <v/>
      </c>
      <c r="H14" s="67">
        <f>IF(TRIM(F14)="","нет отметки",IF((TRIM(F14)="v")=(G14="X"),"верно","неверно"))</f>
        <v/>
      </c>
    </row>
    <row r="15" ht="23.85" customHeight="1" s="45">
      <c r="A15" s="53" t="n">
        <v>9</v>
      </c>
      <c r="B15" s="61" t="inlineStr">
        <is>
          <t>Информационно-технические (кибер)</t>
        </is>
      </c>
      <c r="C15" s="62" t="inlineStr">
        <is>
          <t>У-ИБ-09</t>
        </is>
      </c>
      <c r="D15" s="63" t="inlineStr">
        <is>
          <t>Атака «человек посередине» (MITM)</t>
        </is>
      </c>
      <c r="E15" s="64" t="inlineStr">
        <is>
          <t>Криптографическая защита каналов и данных (СКЗИ)</t>
        </is>
      </c>
      <c r="F15" s="65" t="n"/>
      <c r="G15" s="66">
        <f>IF(INDEX(База_угроз_эталон!$G$13:$K$13,MATCH($B$3,База_угроз_эталон!$G$4:$K$4,0))="X","X","-")</f>
        <v/>
      </c>
      <c r="H15" s="67">
        <f>IF(TRIM(F15)="","нет отметки",IF((TRIM(F15)="v")=(G15="X"),"верно","неверно"))</f>
        <v/>
      </c>
    </row>
    <row r="16" ht="23.85" customHeight="1" s="45">
      <c r="A16" s="53" t="n">
        <v>10</v>
      </c>
      <c r="B16" s="61" t="inlineStr">
        <is>
          <t>Информационно-технические (кибер)</t>
        </is>
      </c>
      <c r="C16" s="62" t="inlineStr">
        <is>
          <t>У-ИБ-10</t>
        </is>
      </c>
      <c r="D16" s="63" t="inlineStr">
        <is>
          <t>Компрометация контейнеризированных сред</t>
        </is>
      </c>
      <c r="E16" s="64" t="inlineStr">
        <is>
          <t>Аудит / пентест информационной безопасности</t>
        </is>
      </c>
      <c r="F16" s="65" t="n"/>
      <c r="G16" s="66">
        <f>IF(INDEX(База_угроз_эталон!$G$14:$K$14,MATCH($B$3,База_угроз_эталон!$G$4:$K$4,0))="X","X","-")</f>
        <v/>
      </c>
      <c r="H16" s="67">
        <f>IF(TRIM(F16)="","нет отметки",IF((TRIM(F16)="v")=(G16="X"),"верно","неверно"))</f>
        <v/>
      </c>
    </row>
    <row r="17" ht="23.85" customHeight="1" s="45">
      <c r="A17" s="53" t="n">
        <v>11</v>
      </c>
      <c r="B17" s="61" t="inlineStr">
        <is>
          <t>Информационно-технические (кибер)</t>
        </is>
      </c>
      <c r="C17" s="62" t="inlineStr">
        <is>
          <t>У-ИБ-11</t>
        </is>
      </c>
      <c r="D17" s="63" t="inlineStr">
        <is>
          <t>Угрозы систем искусственного интеллекта</t>
        </is>
      </c>
      <c r="E17" s="64" t="inlineStr">
        <is>
          <t>Разработка политики и регламентов ИБ</t>
        </is>
      </c>
      <c r="F17" s="65" t="n"/>
      <c r="G17" s="66">
        <f>IF(INDEX(База_угроз_эталон!$G$15:$K$15,MATCH($B$3,База_угроз_эталон!$G$4:$K$4,0))="X","X","-")</f>
        <v/>
      </c>
      <c r="H17" s="67">
        <f>IF(TRIM(F17)="","нет отметки",IF((TRIM(F17)="v")=(G17="X"),"верно","неверно"))</f>
        <v/>
      </c>
    </row>
    <row r="18" ht="23.85" customHeight="1" s="45">
      <c r="A18" s="53" t="n">
        <v>12</v>
      </c>
      <c r="B18" s="61" t="inlineStr">
        <is>
          <t>Информационно-технические (кибер)</t>
        </is>
      </c>
      <c r="C18" s="62" t="inlineStr">
        <is>
          <t>У-ИБ-12</t>
        </is>
      </c>
      <c r="D18" s="63" t="inlineStr">
        <is>
          <t>Мошенничество с использованием deepfake</t>
        </is>
      </c>
      <c r="E18" s="64" t="inlineStr">
        <is>
          <t>Программа обучения персонала (security awareness)</t>
        </is>
      </c>
      <c r="F18" s="65" t="n"/>
      <c r="G18" s="66">
        <f>IF(INDEX(База_угроз_эталон!$G$16:$K$16,MATCH($B$3,База_угроз_эталон!$G$4:$K$4,0))="X","X","-")</f>
        <v/>
      </c>
      <c r="H18" s="67">
        <f>IF(TRIM(F18)="","нет отметки",IF((TRIM(F18)="v")=(G18="X"),"верно","неверно"))</f>
        <v/>
      </c>
    </row>
    <row r="19" ht="23.85" customHeight="1" s="45">
      <c r="A19" s="53" t="n">
        <v>13</v>
      </c>
      <c r="B19" s="61" t="inlineStr">
        <is>
          <t>Информационно-технические (кибер)</t>
        </is>
      </c>
      <c r="C19" s="62" t="inlineStr">
        <is>
          <t>У-ИБ-13</t>
        </is>
      </c>
      <c r="D19" s="63" t="inlineStr">
        <is>
          <t>Утечка конфиденциальной информации по незащищённым каналам</t>
        </is>
      </c>
      <c r="E19" s="64" t="inlineStr">
        <is>
          <t>DLP-система</t>
        </is>
      </c>
      <c r="F19" s="65" t="n"/>
      <c r="G19" s="66">
        <f>IF(INDEX(База_угроз_эталон!$G$17:$K$17,MATCH($B$3,База_угроз_эталон!$G$4:$K$4,0))="X","X","-")</f>
        <v/>
      </c>
      <c r="H19" s="67">
        <f>IF(TRIM(F19)="","нет отметки",IF((TRIM(F19)="v")=(G19="X"),"верно","неверно"))</f>
        <v/>
      </c>
    </row>
    <row r="20" ht="23.85" customHeight="1" s="45">
      <c r="A20" s="53" t="n">
        <v>14</v>
      </c>
      <c r="B20" s="61" t="inlineStr">
        <is>
          <t>Информационно-технические (кибер)</t>
        </is>
      </c>
      <c r="C20" s="62" t="inlineStr">
        <is>
          <t>У-ИБ-14</t>
        </is>
      </c>
      <c r="D20" s="63" t="inlineStr">
        <is>
          <t>Компрометация облачной инфраструктуры</t>
        </is>
      </c>
      <c r="E20" s="64" t="inlineStr">
        <is>
          <t>Аудит / пентест информационной безопасности</t>
        </is>
      </c>
      <c r="F20" s="65" t="n"/>
      <c r="G20" s="66">
        <f>IF(INDEX(База_угроз_эталон!$G$18:$K$18,MATCH($B$3,База_угроз_эталон!$G$4:$K$4,0))="X","X","-")</f>
        <v/>
      </c>
      <c r="H20" s="67">
        <f>IF(TRIM(F20)="","нет отметки",IF((TRIM(F20)="v")=(G20="X"),"верно","неверно"))</f>
        <v/>
      </c>
    </row>
    <row r="21" ht="23.85" customHeight="1" s="45">
      <c r="A21" s="53" t="n">
        <v>15</v>
      </c>
      <c r="B21" s="61" t="inlineStr">
        <is>
          <t>Информационно-технические (кибер)</t>
        </is>
      </c>
      <c r="C21" s="62" t="inlineStr">
        <is>
          <t>У-ИБ-15</t>
        </is>
      </c>
      <c r="D21" s="63" t="inlineStr">
        <is>
          <t>Несанкционированный доступ к Wi-Fi сети</t>
        </is>
      </c>
      <c r="E21" s="64" t="inlineStr">
        <is>
          <t>Межсетевой экран / NGFW</t>
        </is>
      </c>
      <c r="F21" s="65" t="n"/>
      <c r="G21" s="66">
        <f>IF(INDEX(База_угроз_эталон!$G$19:$K$19,MATCH($B$3,База_угроз_эталон!$G$4:$K$4,0))="X","X","-")</f>
        <v/>
      </c>
      <c r="H21" s="67">
        <f>IF(TRIM(F21)="","нет отметки",IF((TRIM(F21)="v")=(G21="X"),"верно","неверно"))</f>
        <v/>
      </c>
    </row>
    <row r="22" ht="15" customHeight="1" s="45">
      <c r="A22" s="53" t="n">
        <v>16</v>
      </c>
      <c r="B22" s="61" t="inlineStr">
        <is>
          <t>Информационно-технические (кибер)</t>
        </is>
      </c>
      <c r="C22" s="62" t="inlineStr">
        <is>
          <t>У-ИБ-16</t>
        </is>
      </c>
      <c r="D22" s="63" t="inlineStr">
        <is>
          <t>Компрометация IoT/«умных» устройств</t>
        </is>
      </c>
      <c r="E22" s="64" t="inlineStr">
        <is>
          <t>Межсетевой экран / NGFW</t>
        </is>
      </c>
      <c r="F22" s="65" t="n"/>
      <c r="G22" s="66">
        <f>IF(INDEX(База_угроз_эталон!$G$20:$K$20,MATCH($B$3,База_угроз_эталон!$G$4:$K$4,0))="X","X","-")</f>
        <v/>
      </c>
      <c r="H22" s="67">
        <f>IF(TRIM(F22)="","нет отметки",IF((TRIM(F22)="v")=(G22="X"),"верно","неверно"))</f>
        <v/>
      </c>
    </row>
    <row r="23" ht="23.85" customHeight="1" s="45">
      <c r="A23" s="53" t="n">
        <v>17</v>
      </c>
      <c r="B23" s="61" t="inlineStr">
        <is>
          <t>Информационно-технические (кибер)</t>
        </is>
      </c>
      <c r="C23" s="62" t="inlineStr">
        <is>
          <t>У-ИБ-17</t>
        </is>
      </c>
      <c r="D23" s="63" t="inlineStr">
        <is>
          <t>Обход DLP через фото экрана или стеганографию</t>
        </is>
      </c>
      <c r="E23" s="64" t="inlineStr">
        <is>
          <t>DLP-система</t>
        </is>
      </c>
      <c r="F23" s="65" t="n"/>
      <c r="G23" s="66">
        <f>IF(INDEX(База_угроз_эталон!$G$21:$K$21,MATCH($B$3,База_угроз_эталон!$G$4:$K$4,0))="X","X","-")</f>
        <v/>
      </c>
      <c r="H23" s="67">
        <f>IF(TRIM(F23)="","нет отметки",IF((TRIM(F23)="v")=(G23="X"),"верно","неверно"))</f>
        <v/>
      </c>
    </row>
    <row r="24" ht="23.85" customHeight="1" s="45">
      <c r="A24" s="53" t="n">
        <v>18</v>
      </c>
      <c r="B24" s="61" t="inlineStr">
        <is>
          <t>Информационно-технические (кибер)</t>
        </is>
      </c>
      <c r="C24" s="62" t="inlineStr">
        <is>
          <t>У-ИБ-18</t>
        </is>
      </c>
      <c r="D24" s="63" t="inlineStr">
        <is>
          <t>Утечка через теневые ИТ и BYOD-устройства</t>
        </is>
      </c>
      <c r="E24" s="64" t="inlineStr">
        <is>
          <t>DLP-система</t>
        </is>
      </c>
      <c r="F24" s="65" t="n"/>
      <c r="G24" s="66">
        <f>IF(INDEX(База_угроз_эталон!$G$22:$K$22,MATCH($B$3,База_угроз_эталон!$G$4:$K$4,0))="X","X","-")</f>
        <v/>
      </c>
      <c r="H24" s="67">
        <f>IF(TRIM(F24)="","нет отметки",IF((TRIM(F24)="v")=(G24="X"),"верно","неверно"))</f>
        <v/>
      </c>
    </row>
    <row r="25" ht="23.85" customHeight="1" s="45">
      <c r="A25" s="53" t="n">
        <v>19</v>
      </c>
      <c r="B25" s="61" t="inlineStr">
        <is>
          <t>Информационно-технические (кибер)</t>
        </is>
      </c>
      <c r="C25" s="62" t="inlineStr">
        <is>
          <t>У-ИБ-19</t>
        </is>
      </c>
      <c r="D25" s="63" t="inlineStr">
        <is>
          <t>Ошибка конфигурации межсетевого экрана</t>
        </is>
      </c>
      <c r="E25" s="64" t="inlineStr">
        <is>
          <t>Межсетевой экран / NGFW</t>
        </is>
      </c>
      <c r="F25" s="65" t="n"/>
      <c r="G25" s="66">
        <f>IF(INDEX(База_угроз_эталон!$G$23:$K$23,MATCH($B$3,База_угроз_эталон!$G$4:$K$4,0))="X","X","-")</f>
        <v/>
      </c>
      <c r="H25" s="67">
        <f>IF(TRIM(F25)="","нет отметки",IF((TRIM(F25)="v")=(G25="X"),"верно","неверно"))</f>
        <v/>
      </c>
    </row>
    <row r="26" ht="23.85" customHeight="1" s="45">
      <c r="A26" s="53" t="n">
        <v>20</v>
      </c>
      <c r="B26" s="61" t="inlineStr">
        <is>
          <t>Информационно-технические (кибер)</t>
        </is>
      </c>
      <c r="C26" s="62" t="inlineStr">
        <is>
          <t>У-ИБ-20</t>
        </is>
      </c>
      <c r="D26" s="63" t="inlineStr">
        <is>
          <t>Обход межсетевого экрана через туннелирование</t>
        </is>
      </c>
      <c r="E26" s="64" t="inlineStr">
        <is>
          <t>Межсетевой экран / NGFW</t>
        </is>
      </c>
      <c r="F26" s="65" t="n"/>
      <c r="G26" s="66">
        <f>IF(INDEX(База_угроз_эталон!$G$24:$K$24,MATCH($B$3,База_угроз_эталон!$G$4:$K$4,0))="X","X","-")</f>
        <v/>
      </c>
      <c r="H26" s="67">
        <f>IF(TRIM(F26)="","нет отметки",IF((TRIM(F26)="v")=(G26="X"),"верно","неверно"))</f>
        <v/>
      </c>
    </row>
    <row r="27" ht="23.85" customHeight="1" s="45">
      <c r="A27" s="53" t="n">
        <v>21</v>
      </c>
      <c r="B27" s="61" t="inlineStr">
        <is>
          <t>Информационно-технические (кибер)</t>
        </is>
      </c>
      <c r="C27" s="62" t="inlineStr">
        <is>
          <t>У-ИБ-21</t>
        </is>
      </c>
      <c r="D27" s="63" t="inlineStr">
        <is>
          <t>Компрометация единой точки входа (SSO)</t>
        </is>
      </c>
      <c r="E27" s="64" t="inlineStr">
        <is>
          <t>IAM / MFA / SSO</t>
        </is>
      </c>
      <c r="F27" s="65" t="n"/>
      <c r="G27" s="66">
        <f>IF(INDEX(База_угроз_эталон!$G$25:$K$25,MATCH($B$3,База_угроз_эталон!$G$4:$K$4,0))="X","X","-")</f>
        <v/>
      </c>
      <c r="H27" s="67">
        <f>IF(TRIM(F27)="","нет отметки",IF((TRIM(F27)="v")=(G27="X"),"верно","неверно"))</f>
        <v/>
      </c>
    </row>
    <row r="28" ht="15" customHeight="1" s="45">
      <c r="A28" s="53" t="n">
        <v>22</v>
      </c>
      <c r="B28" s="61" t="inlineStr">
        <is>
          <t>Информационно-технические (кибер)</t>
        </is>
      </c>
      <c r="C28" s="62" t="inlineStr">
        <is>
          <t>У-ИБ-22</t>
        </is>
      </c>
      <c r="D28" s="63" t="inlineStr">
        <is>
          <t>Фишинг второго фактора аутентификации</t>
        </is>
      </c>
      <c r="E28" s="64" t="inlineStr">
        <is>
          <t>IAM / MFA / SSO</t>
        </is>
      </c>
      <c r="F28" s="65" t="n"/>
      <c r="G28" s="66">
        <f>IF(INDEX(База_угроз_эталон!$G$26:$K$26,MATCH($B$3,База_угроз_эталон!$G$4:$K$4,0))="X","X","-")</f>
        <v/>
      </c>
      <c r="H28" s="67">
        <f>IF(TRIM(F28)="","нет отметки",IF((TRIM(F28)="v")=(G28="X"),"верно","неверно"))</f>
        <v/>
      </c>
    </row>
    <row r="29" ht="15" customHeight="1" s="45">
      <c r="A29" s="53" t="n">
        <v>23</v>
      </c>
      <c r="B29" s="61" t="inlineStr">
        <is>
          <t>Информационно-технические (кибер)</t>
        </is>
      </c>
      <c r="C29" s="62" t="inlineStr">
        <is>
          <t>У-ИБ-23</t>
        </is>
      </c>
      <c r="D29" s="63" t="inlineStr">
        <is>
          <t>SIM-swap (замена SIM-карты)</t>
        </is>
      </c>
      <c r="E29" s="64" t="inlineStr">
        <is>
          <t>IAM / MFA / SSO</t>
        </is>
      </c>
      <c r="F29" s="65" t="n"/>
      <c r="G29" s="66">
        <f>IF(INDEX(База_угроз_эталон!$G$27:$K$27,MATCH($B$3,База_угроз_эталон!$G$4:$K$4,0))="X","X","-")</f>
        <v/>
      </c>
      <c r="H29" s="67">
        <f>IF(TRIM(F29)="","нет отметки",IF((TRIM(F29)="v")=(G29="X"),"верно","неверно"))</f>
        <v/>
      </c>
    </row>
    <row r="30" ht="15" customHeight="1" s="45">
      <c r="A30" s="53" t="n">
        <v>24</v>
      </c>
      <c r="B30" s="61" t="inlineStr">
        <is>
          <t>Информационно-технические (кибер)</t>
        </is>
      </c>
      <c r="C30" s="62" t="inlineStr">
        <is>
          <t>У-ИБ-24</t>
        </is>
      </c>
      <c r="D30" s="63" t="inlineStr">
        <is>
          <t>Alert fatigue в SIEM/SOC</t>
        </is>
      </c>
      <c r="E30" s="64" t="inlineStr">
        <is>
          <t>SIEM / SOC-мониторинг</t>
        </is>
      </c>
      <c r="F30" s="65" t="n"/>
      <c r="G30" s="66">
        <f>IF(INDEX(База_угроз_эталон!$G$28:$K$28,MATCH($B$3,База_угроз_эталон!$G$4:$K$4,0))="X","X","-")</f>
        <v/>
      </c>
      <c r="H30" s="67">
        <f>IF(TRIM(F30)="","нет отметки",IF((TRIM(F30)="v")=(G30="X"),"верно","неверно"))</f>
        <v/>
      </c>
    </row>
    <row r="31" ht="15" customHeight="1" s="45">
      <c r="A31" s="53" t="n">
        <v>25</v>
      </c>
      <c r="B31" s="61" t="inlineStr">
        <is>
          <t>Информационно-технические (кибер)</t>
        </is>
      </c>
      <c r="C31" s="62" t="inlineStr">
        <is>
          <t>У-ИБ-25</t>
        </is>
      </c>
      <c r="D31" s="63" t="inlineStr">
        <is>
          <t>Слепые зоны логирования</t>
        </is>
      </c>
      <c r="E31" s="64" t="inlineStr">
        <is>
          <t>SIEM / SOC-мониторинг</t>
        </is>
      </c>
      <c r="F31" s="65" t="n"/>
      <c r="G31" s="66">
        <f>IF(INDEX(База_угроз_эталон!$G$29:$K$29,MATCH($B$3,База_угроз_эталон!$G$4:$K$4,0))="X","X","-")</f>
        <v/>
      </c>
      <c r="H31" s="67">
        <f>IF(TRIM(F31)="","нет отметки",IF((TRIM(F31)="v")=(G31="X"),"верно","неверно"))</f>
        <v/>
      </c>
    </row>
    <row r="32" ht="23.85" customHeight="1" s="45">
      <c r="A32" s="53" t="n">
        <v>26</v>
      </c>
      <c r="B32" s="61" t="inlineStr">
        <is>
          <t>Информационно-технические (кибер)</t>
        </is>
      </c>
      <c r="C32" s="62" t="inlineStr">
        <is>
          <t>У-ИБ-26</t>
        </is>
      </c>
      <c r="D32" s="63" t="inlineStr">
        <is>
          <t>Атака на резервные копии</t>
        </is>
      </c>
      <c r="E32" s="64" t="inlineStr">
        <is>
          <t>Резервное копирование и восстановление (Backup/DR)</t>
        </is>
      </c>
      <c r="F32" s="65" t="n"/>
      <c r="G32" s="66">
        <f>IF(INDEX(База_угроз_эталон!$G$30:$K$30,MATCH($B$3,База_угроз_эталон!$G$4:$K$4,0))="X","X","-")</f>
        <v/>
      </c>
      <c r="H32" s="67">
        <f>IF(TRIM(F32)="","нет отметки",IF((TRIM(F32)="v")=(G32="X"),"верно","неверно"))</f>
        <v/>
      </c>
    </row>
    <row r="33" ht="23.85" customHeight="1" s="45">
      <c r="A33" s="53" t="n">
        <v>27</v>
      </c>
      <c r="B33" s="61" t="inlineStr">
        <is>
          <t>Информационно-технические (кибер)</t>
        </is>
      </c>
      <c r="C33" s="62" t="inlineStr">
        <is>
          <t>У-ИБ-27</t>
        </is>
      </c>
      <c r="D33" s="63" t="inlineStr">
        <is>
          <t>Неработоспособность резервной копии при восстановлении</t>
        </is>
      </c>
      <c r="E33" s="64" t="inlineStr">
        <is>
          <t>Резервное копирование и восстановление (Backup/DR)</t>
        </is>
      </c>
      <c r="F33" s="65" t="n"/>
      <c r="G33" s="66">
        <f>IF(INDEX(База_угроз_эталон!$G$31:$K$31,MATCH($B$3,База_угроз_эталон!$G$4:$K$4,0))="X","X","-")</f>
        <v/>
      </c>
      <c r="H33" s="67">
        <f>IF(TRIM(F33)="","нет отметки",IF((TRIM(F33)="v")=(G33="X"),"верно","неверно"))</f>
        <v/>
      </c>
    </row>
    <row r="34" ht="23.85" customHeight="1" s="45">
      <c r="A34" s="53" t="n">
        <v>28</v>
      </c>
      <c r="B34" s="61" t="inlineStr">
        <is>
          <t>Информационно-технические (кибер)</t>
        </is>
      </c>
      <c r="C34" s="62" t="inlineStr">
        <is>
          <t>У-ИБ-28</t>
        </is>
      </c>
      <c r="D34" s="63" t="inlineStr">
        <is>
          <t>Компрометация или утрата ключей шифрования</t>
        </is>
      </c>
      <c r="E34" s="64" t="inlineStr">
        <is>
          <t>Криптографическая защита каналов и данных (СКЗИ)</t>
        </is>
      </c>
      <c r="F34" s="65" t="n"/>
      <c r="G34" s="66">
        <f>IF(INDEX(База_угроз_эталон!$G$32:$K$32,MATCH($B$3,База_угроз_эталон!$G$4:$K$4,0))="X","X","-")</f>
        <v/>
      </c>
      <c r="H34" s="67">
        <f>IF(TRIM(F34)="","нет отметки",IF((TRIM(F34)="v")=(G34="X"),"верно","неверно"))</f>
        <v/>
      </c>
    </row>
    <row r="35" ht="23.85" customHeight="1" s="45">
      <c r="A35" s="53" t="n">
        <v>29</v>
      </c>
      <c r="B35" s="61" t="inlineStr">
        <is>
          <t>Информационно-технические (кибер)</t>
        </is>
      </c>
      <c r="C35" s="62" t="inlineStr">
        <is>
          <t>У-ИБ-29</t>
        </is>
      </c>
      <c r="D35" s="63" t="inlineStr">
        <is>
          <t>Использование устаревших криптоалгоритмов</t>
        </is>
      </c>
      <c r="E35" s="64" t="inlineStr">
        <is>
          <t>Криптографическая защита каналов и данных (СКЗИ)</t>
        </is>
      </c>
      <c r="F35" s="65" t="n"/>
      <c r="G35" s="66">
        <f>IF(INDEX(База_угроз_эталон!$G$33:$K$33,MATCH($B$3,База_угроз_эталон!$G$4:$K$4,0))="X","X","-")</f>
        <v/>
      </c>
      <c r="H35" s="67">
        <f>IF(TRIM(F35)="","нет отметки",IF((TRIM(F35)="v")=(G35="X"),"верно","неверно"))</f>
        <v/>
      </c>
    </row>
    <row r="36" ht="23.85" customHeight="1" s="45">
      <c r="A36" s="53" t="n">
        <v>30</v>
      </c>
      <c r="B36" s="61" t="inlineStr">
        <is>
          <t>Информационно-технические (кибер)</t>
        </is>
      </c>
      <c r="C36" s="62" t="inlineStr">
        <is>
          <t>У-ИБ-30</t>
        </is>
      </c>
      <c r="D36" s="63" t="inlineStr">
        <is>
          <t>«Harvest now, decrypt later»</t>
        </is>
      </c>
      <c r="E36" s="64" t="inlineStr">
        <is>
          <t>Криптографическая защита каналов и данных (СКЗИ)</t>
        </is>
      </c>
      <c r="F36" s="65" t="n"/>
      <c r="G36" s="66">
        <f>IF(INDEX(База_угроз_эталон!$G$34:$K$34,MATCH($B$3,База_угроз_эталон!$G$4:$K$4,0))="X","X","-")</f>
        <v/>
      </c>
      <c r="H36" s="67">
        <f>IF(TRIM(F36)="","нет отметки",IF((TRIM(F36)="v")=(G36="X"),"верно","неверно"))</f>
        <v/>
      </c>
    </row>
    <row r="37" ht="23.85" customHeight="1" s="45">
      <c r="A37" s="53" t="n">
        <v>31</v>
      </c>
      <c r="B37" s="61" t="inlineStr">
        <is>
          <t>Цепочка поставок</t>
        </is>
      </c>
      <c r="C37" s="62" t="inlineStr">
        <is>
          <t>У-ЦП-01</t>
        </is>
      </c>
      <c r="D37" s="63" t="inlineStr">
        <is>
          <t>Компрометация подрядчика/поставщика услуг</t>
        </is>
      </c>
      <c r="E37" s="64" t="inlineStr">
        <is>
          <t>Аудит / пентест информационной безопасности</t>
        </is>
      </c>
      <c r="F37" s="65" t="n"/>
      <c r="G37" s="66">
        <f>IF(INDEX(База_угроз_эталон!$G$35:$K$35,MATCH($B$3,База_угроз_эталон!$G$4:$K$4,0))="X","X","-")</f>
        <v/>
      </c>
      <c r="H37" s="67">
        <f>IF(TRIM(F37)="","нет отметки",IF((TRIM(F37)="v")=(G37="X"),"верно","неверно"))</f>
        <v/>
      </c>
    </row>
    <row r="38" ht="23.85" customHeight="1" s="45">
      <c r="A38" s="53" t="n">
        <v>32</v>
      </c>
      <c r="B38" s="61" t="inlineStr">
        <is>
          <t>Цепочка поставок</t>
        </is>
      </c>
      <c r="C38" s="62" t="inlineStr">
        <is>
          <t>У-ЦП-02</t>
        </is>
      </c>
      <c r="D38" s="63" t="inlineStr">
        <is>
          <t>Внедрение вредоносного кода через обновление ПО вендора</t>
        </is>
      </c>
      <c r="E38" s="64" t="inlineStr">
        <is>
          <t>Антивирус корпоративного класса / EDR</t>
        </is>
      </c>
      <c r="F38" s="65" t="n"/>
      <c r="G38" s="66">
        <f>IF(INDEX(База_угроз_эталон!$G$36:$K$36,MATCH($B$3,База_угроз_эталон!$G$4:$K$4,0))="X","X","-")</f>
        <v/>
      </c>
      <c r="H38" s="67">
        <f>IF(TRIM(F38)="","нет отметки",IF((TRIM(F38)="v")=(G38="X"),"верно","неверно"))</f>
        <v/>
      </c>
    </row>
    <row r="39" ht="23.85" customHeight="1" s="45">
      <c r="A39" s="53" t="n">
        <v>33</v>
      </c>
      <c r="B39" s="61" t="inlineStr">
        <is>
          <t>Цепочка поставок</t>
        </is>
      </c>
      <c r="C39" s="62" t="inlineStr">
        <is>
          <t>У-ЦП-03</t>
        </is>
      </c>
      <c r="D39" s="63" t="inlineStr">
        <is>
          <t>Компрометация учётных записей сервисных инженеров/интеграторов</t>
        </is>
      </c>
      <c r="E39" s="64" t="inlineStr">
        <is>
          <t>IAM / MFA / SSO</t>
        </is>
      </c>
      <c r="F39" s="65" t="n"/>
      <c r="G39" s="66">
        <f>IF(INDEX(База_угроз_эталон!$G$37:$K$37,MATCH($B$3,База_угроз_эталон!$G$4:$K$4,0))="X","X","-")</f>
        <v/>
      </c>
      <c r="H39" s="67">
        <f>IF(TRIM(F39)="","нет отметки",IF((TRIM(F39)="v")=(G39="X"),"верно","неверно"))</f>
        <v/>
      </c>
    </row>
    <row r="40" ht="23.85" customHeight="1" s="45">
      <c r="A40" s="53" t="n">
        <v>34</v>
      </c>
      <c r="B40" s="61" t="inlineStr">
        <is>
          <t>Персонал (инсайдер, человеческий фактор)</t>
        </is>
      </c>
      <c r="C40" s="62" t="inlineStr">
        <is>
          <t>У-ПЕРС-01</t>
        </is>
      </c>
      <c r="D40" s="63" t="inlineStr">
        <is>
          <t>Умышленные действия действующего сотрудника</t>
        </is>
      </c>
      <c r="E40" s="64" t="inlineStr">
        <is>
          <t>DLP-система</t>
        </is>
      </c>
      <c r="F40" s="65" t="n"/>
      <c r="G40" s="66">
        <f>IF(INDEX(База_угроз_эталон!$G$38:$K$38,MATCH($B$3,База_угроз_эталон!$G$4:$K$4,0))="X","X","-")</f>
        <v/>
      </c>
      <c r="H40" s="67">
        <f>IF(TRIM(F40)="","нет отметки",IF((TRIM(F40)="v")=(G40="X"),"верно","неверно"))</f>
        <v/>
      </c>
    </row>
    <row r="41" ht="23.85" customHeight="1" s="45">
      <c r="A41" s="53" t="n">
        <v>35</v>
      </c>
      <c r="B41" s="61" t="inlineStr">
        <is>
          <t>Персонал (инсайдер, человеческий фактор)</t>
        </is>
      </c>
      <c r="C41" s="62" t="inlineStr">
        <is>
          <t>У-ПЕРС-02</t>
        </is>
      </c>
      <c r="D41" s="63" t="inlineStr">
        <is>
          <t>Действия бывшего (уволенного) работника</t>
        </is>
      </c>
      <c r="E41" s="64" t="inlineStr">
        <is>
          <t>IAM / MFA / SSO</t>
        </is>
      </c>
      <c r="F41" s="65" t="n"/>
      <c r="G41" s="66">
        <f>IF(INDEX(База_угроз_эталон!$G$39:$K$39,MATCH($B$3,База_угроз_эталон!$G$4:$K$4,0))="X","X","-")</f>
        <v/>
      </c>
      <c r="H41" s="67">
        <f>IF(TRIM(F41)="","нет отметки",IF((TRIM(F41)="v")=(G41="X"),"верно","неверно"))</f>
        <v/>
      </c>
    </row>
    <row r="42" ht="23.85" customHeight="1" s="45">
      <c r="A42" s="53" t="n">
        <v>36</v>
      </c>
      <c r="B42" s="61" t="inlineStr">
        <is>
          <t>Персонал (инсайдер, человеческий фактор)</t>
        </is>
      </c>
      <c r="C42" s="62" t="inlineStr">
        <is>
          <t>У-ПЕРС-03</t>
        </is>
      </c>
      <c r="D42" s="63" t="inlineStr">
        <is>
          <t>Социальная инженерия</t>
        </is>
      </c>
      <c r="E42" s="64" t="inlineStr">
        <is>
          <t>Программа обучения персонала (security awareness)</t>
        </is>
      </c>
      <c r="F42" s="65" t="n"/>
      <c r="G42" s="66">
        <f>IF(INDEX(База_угроз_эталон!$G$40:$K$40,MATCH($B$3,База_угроз_эталон!$G$4:$K$4,0))="X","X","-")</f>
        <v/>
      </c>
      <c r="H42" s="67">
        <f>IF(TRIM(F42)="","нет отметки",IF((TRIM(F42)="v")=(G42="X"),"верно","неверно"))</f>
        <v/>
      </c>
    </row>
    <row r="43" ht="23.85" customHeight="1" s="45">
      <c r="A43" s="53" t="n">
        <v>37</v>
      </c>
      <c r="B43" s="61" t="inlineStr">
        <is>
          <t>Персонал (инсайдер, человеческий фактор)</t>
        </is>
      </c>
      <c r="C43" s="62" t="inlineStr">
        <is>
          <t>У-ПЕРС-04</t>
        </is>
      </c>
      <c r="D43" s="63" t="inlineStr">
        <is>
          <t>Ошибка персонала (человеческий фактор)</t>
        </is>
      </c>
      <c r="E43" s="64" t="inlineStr">
        <is>
          <t>Программа обучения персонала (security awareness)</t>
        </is>
      </c>
      <c r="F43" s="65" t="n"/>
      <c r="G43" s="66">
        <f>IF(INDEX(База_угроз_эталон!$G$41:$K$41,MATCH($B$3,База_угроз_эталон!$G$4:$K$4,0))="X","X","-")</f>
        <v/>
      </c>
      <c r="H43" s="67">
        <f>IF(TRIM(F43)="","нет отметки",IF((TRIM(F43)="v")=(G43="X"),"верно","неверно"))</f>
        <v/>
      </c>
    </row>
    <row r="44" ht="23.85" customHeight="1" s="45">
      <c r="A44" s="53" t="n">
        <v>38</v>
      </c>
      <c r="B44" s="61" t="inlineStr">
        <is>
          <t>Персонал (инсайдер, человеческий фактор)</t>
        </is>
      </c>
      <c r="C44" s="62" t="inlineStr">
        <is>
          <t>У-ПЕРС-05</t>
        </is>
      </c>
      <c r="D44" s="63" t="inlineStr">
        <is>
          <t>Несоблюдение пропускного и внутриобъектового режима</t>
        </is>
      </c>
      <c r="E44" s="64" t="inlineStr">
        <is>
          <t>СКУД (система контроля и управления доступом)</t>
        </is>
      </c>
      <c r="F44" s="65" t="n"/>
      <c r="G44" s="66">
        <f>IF(INDEX(База_угроз_эталон!$G$42:$K$42,MATCH($B$3,База_угроз_эталон!$G$4:$K$4,0))="X","X","-")</f>
        <v/>
      </c>
      <c r="H44" s="67">
        <f>IF(TRIM(F44)="","нет отметки",IF((TRIM(F44)="v")=(G44="X"),"верно","неверно"))</f>
        <v/>
      </c>
    </row>
    <row r="45" ht="23.85" customHeight="1" s="45">
      <c r="A45" s="53" t="n">
        <v>39</v>
      </c>
      <c r="B45" s="61" t="inlineStr">
        <is>
          <t>Персонал (инсайдер, человеческий фактор)</t>
        </is>
      </c>
      <c r="C45" s="62" t="inlineStr">
        <is>
          <t>У-ПЕРС-06</t>
        </is>
      </c>
      <c r="D45" s="63" t="inlineStr">
        <is>
          <t>Сговор персонала с внешним нарушителем</t>
        </is>
      </c>
      <c r="E45" s="64" t="inlineStr">
        <is>
          <t>Аудит / пентест информационной безопасности</t>
        </is>
      </c>
      <c r="F45" s="65" t="n"/>
      <c r="G45" s="66">
        <f>IF(INDEX(База_угроз_эталон!$G$43:$K$43,MATCH($B$3,База_угроз_эталон!$G$4:$K$4,0))="X","X","-")</f>
        <v/>
      </c>
      <c r="H45" s="67">
        <f>IF(TRIM(F45)="","нет отметки",IF((TRIM(F45)="v")=(G45="X"),"верно","неверно"))</f>
        <v/>
      </c>
    </row>
    <row r="46" ht="23.85" customHeight="1" s="45">
      <c r="A46" s="53" t="n">
        <v>40</v>
      </c>
      <c r="B46" s="61" t="inlineStr">
        <is>
          <t>Физические угрозы имуществу</t>
        </is>
      </c>
      <c r="C46" s="62" t="inlineStr">
        <is>
          <t>У-ФИЗ-01</t>
        </is>
      </c>
      <c r="D46" s="63" t="inlineStr">
        <is>
          <t>Кража (хищение) имущества, оборудования, носителей</t>
        </is>
      </c>
      <c r="E46" s="64" t="inlineStr">
        <is>
          <t>СКУД (система контроля и управления доступом)</t>
        </is>
      </c>
      <c r="F46" s="65" t="n"/>
      <c r="G46" s="66">
        <f>IF(INDEX(База_угроз_эталон!$G$44:$K$44,MATCH($B$3,База_угроз_эталон!$G$4:$K$4,0))="X","X","-")</f>
        <v/>
      </c>
      <c r="H46" s="67">
        <f>IF(TRIM(F46)="","нет отметки",IF((TRIM(F46)="v")=(G46="X"),"верно","неверно"))</f>
        <v/>
      </c>
    </row>
    <row r="47" ht="23.85" customHeight="1" s="45">
      <c r="A47" s="53" t="n">
        <v>41</v>
      </c>
      <c r="B47" s="61" t="inlineStr">
        <is>
          <t>Физические угрозы имуществу</t>
        </is>
      </c>
      <c r="C47" s="62" t="inlineStr">
        <is>
          <t>У-ФИЗ-02</t>
        </is>
      </c>
      <c r="D47" s="63" t="inlineStr">
        <is>
          <t>Взлом дверей, окон, ограждения периметра</t>
        </is>
      </c>
      <c r="E47" s="64" t="inlineStr">
        <is>
          <t>Охранная сигнализация</t>
        </is>
      </c>
      <c r="F47" s="65" t="n"/>
      <c r="G47" s="66">
        <f>IF(INDEX(База_угроз_эталон!$G$45:$K$45,MATCH($B$3,База_угроз_эталон!$G$4:$K$4,0))="X","X","-")</f>
        <v/>
      </c>
      <c r="H47" s="67">
        <f>IF(TRIM(F47)="","нет отметки",IF((TRIM(F47)="v")=(G47="X"),"верно","неверно"))</f>
        <v/>
      </c>
    </row>
    <row r="48" ht="35.05" customHeight="1" s="45">
      <c r="A48" s="53" t="n">
        <v>42</v>
      </c>
      <c r="B48" s="61" t="inlineStr">
        <is>
          <t>Физические угрозы имуществу</t>
        </is>
      </c>
      <c r="C48" s="62" t="inlineStr">
        <is>
          <t>У-ФИЗ-03</t>
        </is>
      </c>
      <c r="D48" s="63" t="inlineStr">
        <is>
          <t>Проникновение через технологические/слабозащищённые проёмы</t>
        </is>
      </c>
      <c r="E48" s="64" t="inlineStr">
        <is>
          <t>Охранная сигнализация</t>
        </is>
      </c>
      <c r="F48" s="65" t="n"/>
      <c r="G48" s="66">
        <f>IF(INDEX(База_угроз_эталон!$G$46:$K$46,MATCH($B$3,База_угроз_эталон!$G$4:$K$4,0))="X","X","-")</f>
        <v/>
      </c>
      <c r="H48" s="67">
        <f>IF(TRIM(F48)="","нет отметки",IF((TRIM(F48)="v")=(G48="X"),"верно","неверно"))</f>
        <v/>
      </c>
    </row>
    <row r="49" ht="23.85" customHeight="1" s="45">
      <c r="A49" s="53" t="n">
        <v>43</v>
      </c>
      <c r="B49" s="61" t="inlineStr">
        <is>
          <t>Физические угрозы имуществу</t>
        </is>
      </c>
      <c r="C49" s="62" t="inlineStr">
        <is>
          <t>У-ФИЗ-04</t>
        </is>
      </c>
      <c r="D49" s="63" t="inlineStr">
        <is>
          <t>Вандализм, умышленная порча имущества</t>
        </is>
      </c>
      <c r="E49" s="64" t="inlineStr">
        <is>
          <t>СОТ (система видеонаблюдения)</t>
        </is>
      </c>
      <c r="F49" s="65" t="n"/>
      <c r="G49" s="66">
        <f>IF(INDEX(База_угроз_эталон!$G$47:$K$47,MATCH($B$3,База_угроз_эталон!$G$4:$K$4,0))="X","X","-")</f>
        <v/>
      </c>
      <c r="H49" s="67">
        <f>IF(TRIM(F49)="","нет отметки",IF((TRIM(F49)="v")=(G49="X"),"верно","неверно"))</f>
        <v/>
      </c>
    </row>
    <row r="50" ht="15" customHeight="1" s="45">
      <c r="A50" s="53" t="n">
        <v>44</v>
      </c>
      <c r="B50" s="61" t="inlineStr">
        <is>
          <t>Физические угрозы имуществу</t>
        </is>
      </c>
      <c r="C50" s="62" t="inlineStr">
        <is>
          <t>У-ФИЗ-05</t>
        </is>
      </c>
      <c r="D50" s="63" t="inlineStr">
        <is>
          <t>Умышленный поджог</t>
        </is>
      </c>
      <c r="E50" s="64" t="inlineStr">
        <is>
          <t>Пожарная сигнализация</t>
        </is>
      </c>
      <c r="F50" s="65" t="n"/>
      <c r="G50" s="66">
        <f>IF(INDEX(База_угроз_эталон!$G$48:$K$48,MATCH($B$3,База_угроз_эталон!$G$4:$K$4,0))="X","X","-")</f>
        <v/>
      </c>
      <c r="H50" s="67">
        <f>IF(TRIM(F50)="","нет отметки",IF((TRIM(F50)="v")=(G50="X"),"верно","неверно"))</f>
        <v/>
      </c>
    </row>
    <row r="51" ht="23.85" customHeight="1" s="45">
      <c r="A51" s="53" t="n">
        <v>45</v>
      </c>
      <c r="B51" s="61" t="inlineStr">
        <is>
          <t>Физические угрозы имуществу</t>
        </is>
      </c>
      <c r="C51" s="62" t="inlineStr">
        <is>
          <t>У-ФИЗ-06</t>
        </is>
      </c>
      <c r="D51" s="63" t="inlineStr">
        <is>
          <t>Повреждение или хищение кабельных линий связи/электропитания</t>
        </is>
      </c>
      <c r="E51" s="64" t="inlineStr">
        <is>
          <t>Комплексный проект ИТСО «под ключ»</t>
        </is>
      </c>
      <c r="F51" s="65" t="n"/>
      <c r="G51" s="66">
        <f>IF(INDEX(База_угроз_эталон!$G$49:$K$49,MATCH($B$3,База_угроз_эталон!$G$4:$K$4,0))="X","X","-")</f>
        <v/>
      </c>
      <c r="H51" s="67">
        <f>IF(TRIM(F51)="","нет отметки",IF((TRIM(F51)="v")=(G51="X"),"верно","неверно"))</f>
        <v/>
      </c>
    </row>
    <row r="52" ht="35.05" customHeight="1" s="45">
      <c r="A52" s="53" t="n">
        <v>46</v>
      </c>
      <c r="B52" s="61" t="inlineStr">
        <is>
          <t>Угрозы жизни, здоровью, террористические</t>
        </is>
      </c>
      <c r="C52" s="62" t="inlineStr">
        <is>
          <t>У-ТЕР-01</t>
        </is>
      </c>
      <c r="D52" s="63" t="inlineStr">
        <is>
          <t>Вооружённое нападение на объект</t>
        </is>
      </c>
      <c r="E52" s="64" t="inlineStr">
        <is>
          <t>Паспорт безопасности / антитеррористическая защищённость (ПП РФ № 1006)</t>
        </is>
      </c>
      <c r="F52" s="65" t="n"/>
      <c r="G52" s="66">
        <f>IF(INDEX(База_угроз_эталон!$G$50:$K$50,MATCH($B$3,База_угроз_эталон!$G$4:$K$4,0))="X","X","-")</f>
        <v/>
      </c>
      <c r="H52" s="67">
        <f>IF(TRIM(F52)="","нет отметки",IF((TRIM(F52)="v")=(G52="X"),"верно","неверно"))</f>
        <v/>
      </c>
    </row>
    <row r="53" ht="35.05" customHeight="1" s="45">
      <c r="A53" s="53" t="n">
        <v>47</v>
      </c>
      <c r="B53" s="61" t="inlineStr">
        <is>
          <t>Угрозы жизни, здоровью, террористические</t>
        </is>
      </c>
      <c r="C53" s="62" t="inlineStr">
        <is>
          <t>У-ТЕР-02</t>
        </is>
      </c>
      <c r="D53" s="63" t="inlineStr">
        <is>
          <t>Угроза размещения взрывного устройства</t>
        </is>
      </c>
      <c r="E53" s="64" t="inlineStr">
        <is>
          <t>Паспорт безопасности / антитеррористическая защищённость (ПП РФ № 1006)</t>
        </is>
      </c>
      <c r="F53" s="65" t="n"/>
      <c r="G53" s="66">
        <f>IF(INDEX(База_угроз_эталон!$G$51:$K$51,MATCH($B$3,База_угроз_эталон!$G$4:$K$4,0))="X","X","-")</f>
        <v/>
      </c>
      <c r="H53" s="67">
        <f>IF(TRIM(F53)="","нет отметки",IF((TRIM(F53)="v")=(G53="X"),"верно","неверно"))</f>
        <v/>
      </c>
    </row>
    <row r="54" ht="35.05" customHeight="1" s="45">
      <c r="A54" s="53" t="n">
        <v>48</v>
      </c>
      <c r="B54" s="61" t="inlineStr">
        <is>
          <t>Угрозы жизни, здоровью, террористические</t>
        </is>
      </c>
      <c r="C54" s="62" t="inlineStr">
        <is>
          <t>У-ТЕР-03</t>
        </is>
      </c>
      <c r="D54" s="63" t="inlineStr">
        <is>
          <t>Захват заложников</t>
        </is>
      </c>
      <c r="E54" s="64" t="inlineStr">
        <is>
          <t>Паспорт безопасности / антитеррористическая защищённость (ПП РФ № 1006)</t>
        </is>
      </c>
      <c r="F54" s="65" t="n"/>
      <c r="G54" s="66">
        <f>IF(INDEX(База_угроз_эталон!$G$52:$K$52,MATCH($B$3,База_угроз_эталон!$G$4:$K$4,0))="X","X","-")</f>
        <v/>
      </c>
      <c r="H54" s="67">
        <f>IF(TRIM(F54)="","нет отметки",IF((TRIM(F54)="v")=(G54="X"),"верно","неверно"))</f>
        <v/>
      </c>
    </row>
    <row r="55" ht="35.05" customHeight="1" s="45">
      <c r="A55" s="53" t="n">
        <v>49</v>
      </c>
      <c r="B55" s="61" t="inlineStr">
        <is>
          <t>Угрозы жизни, здоровью, террористические</t>
        </is>
      </c>
      <c r="C55" s="62" t="inlineStr">
        <is>
          <t>У-ТЕР-04</t>
        </is>
      </c>
      <c r="D55" s="63" t="inlineStr">
        <is>
          <t>Пронос токсичных, отравляющих, биологических агентов</t>
        </is>
      </c>
      <c r="E55" s="64" t="inlineStr">
        <is>
          <t>Паспорт безопасности / антитеррористическая защищённость (ПП РФ № 1006)</t>
        </is>
      </c>
      <c r="F55" s="65" t="n"/>
      <c r="G55" s="66">
        <f>IF(INDEX(База_угроз_эталон!$G$53:$K$53,MATCH($B$3,База_угроз_эталон!$G$4:$K$4,0))="X","X","-")</f>
        <v/>
      </c>
      <c r="H55" s="67">
        <f>IF(TRIM(F55)="","нет отметки",IF((TRIM(F55)="v")=(G55="X"),"верно","неверно"))</f>
        <v/>
      </c>
    </row>
    <row r="56" ht="23.85" customHeight="1" s="45">
      <c r="A56" s="53" t="n">
        <v>50</v>
      </c>
      <c r="B56" s="61" t="inlineStr">
        <is>
          <t>Угрозы жизни, здоровью, террористические</t>
        </is>
      </c>
      <c r="C56" s="62" t="inlineStr">
        <is>
          <t>У-ТЕР-05</t>
        </is>
      </c>
      <c r="D56" s="63" t="inlineStr">
        <is>
          <t>Массовые беспорядки на прилегающей территории</t>
        </is>
      </c>
      <c r="E56" s="64" t="inlineStr">
        <is>
          <t>СКУД (система контроля и управления доступом)</t>
        </is>
      </c>
      <c r="F56" s="65" t="n"/>
      <c r="G56" s="66">
        <f>IF(INDEX(База_угроз_эталон!$G$54:$K$54,MATCH($B$3,База_угроз_эталон!$G$4:$K$4,0))="X","X","-")</f>
        <v/>
      </c>
      <c r="H56" s="67">
        <f>IF(TRIM(F56)="","нет отметки",IF((TRIM(F56)="v")=(G56="X"),"верно","неверно"))</f>
        <v/>
      </c>
    </row>
    <row r="57" ht="35.05" customHeight="1" s="45">
      <c r="A57" s="53" t="n">
        <v>51</v>
      </c>
      <c r="B57" s="61" t="inlineStr">
        <is>
          <t>Угрозы жизни, здоровью, террористические</t>
        </is>
      </c>
      <c r="C57" s="62" t="inlineStr">
        <is>
          <t>У-ТЕР-06</t>
        </is>
      </c>
      <c r="D57" s="63" t="inlineStr">
        <is>
          <t>Заведомо ложное сообщение об акте терроризма</t>
        </is>
      </c>
      <c r="E57" s="64" t="inlineStr">
        <is>
          <t>Паспорт безопасности / антитеррористическая защищённость (ПП РФ № 1006)</t>
        </is>
      </c>
      <c r="F57" s="65" t="n"/>
      <c r="G57" s="66">
        <f>IF(INDEX(База_угроз_эталон!$G$55:$K$55,MATCH($B$3,База_угроз_эталон!$G$4:$K$4,0))="X","X","-")</f>
        <v/>
      </c>
      <c r="H57" s="67">
        <f>IF(TRIM(F57)="","нет отметки",IF((TRIM(F57)="v")=(G57="X"),"верно","неверно"))</f>
        <v/>
      </c>
    </row>
    <row r="58" ht="23.85" customHeight="1" s="45">
      <c r="A58" s="53" t="n">
        <v>52</v>
      </c>
      <c r="B58" s="61" t="inlineStr">
        <is>
          <t>Природные и техногенные угрозы</t>
        </is>
      </c>
      <c r="C58" s="62" t="inlineStr">
        <is>
          <t>У-ПРИР-01</t>
        </is>
      </c>
      <c r="D58" s="63" t="inlineStr">
        <is>
          <t>Пожар вследствие неисправности проводки/оборудования</t>
        </is>
      </c>
      <c r="E58" s="64" t="inlineStr">
        <is>
          <t>Пожарная сигнализация</t>
        </is>
      </c>
      <c r="F58" s="65" t="n"/>
      <c r="G58" s="66">
        <f>IF(INDEX(База_угроз_эталон!$G$56:$K$56,MATCH($B$3,База_угроз_эталон!$G$4:$K$4,0))="X","X","-")</f>
        <v/>
      </c>
      <c r="H58" s="67">
        <f>IF(TRIM(F58)="","нет отметки",IF((TRIM(F58)="v")=(G58="X"),"верно","неверно"))</f>
        <v/>
      </c>
    </row>
    <row r="59" ht="23.85" customHeight="1" s="45">
      <c r="A59" s="53" t="n">
        <v>53</v>
      </c>
      <c r="B59" s="61" t="inlineStr">
        <is>
          <t>Природные и техногенные угрозы</t>
        </is>
      </c>
      <c r="C59" s="62" t="inlineStr">
        <is>
          <t>У-ПРИР-02</t>
        </is>
      </c>
      <c r="D59" s="63" t="inlineStr">
        <is>
          <t>Затопление (протечка, прорыв водопровода/канализации)</t>
        </is>
      </c>
      <c r="E59" s="64" t="inlineStr">
        <is>
          <t>Комплексный проект ИТСО «под ключ»</t>
        </is>
      </c>
      <c r="F59" s="65" t="n"/>
      <c r="G59" s="66">
        <f>IF(INDEX(База_угроз_эталон!$G$57:$K$57,MATCH($B$3,База_угроз_эталон!$G$4:$K$4,0))="X","X","-")</f>
        <v/>
      </c>
      <c r="H59" s="67">
        <f>IF(TRIM(F59)="","нет отметки",IF((TRIM(F59)="v")=(G59="X"),"верно","неверно"))</f>
        <v/>
      </c>
    </row>
    <row r="60" ht="23.85" customHeight="1" s="45">
      <c r="A60" s="53" t="n">
        <v>54</v>
      </c>
      <c r="B60" s="61" t="inlineStr">
        <is>
          <t>Природные и техногенные угрозы</t>
        </is>
      </c>
      <c r="C60" s="62" t="inlineStr">
        <is>
          <t>У-ПРИР-03</t>
        </is>
      </c>
      <c r="D60" s="63" t="inlineStr">
        <is>
          <t>Аварийное отключение электроснабжения</t>
        </is>
      </c>
      <c r="E60" s="64" t="inlineStr">
        <is>
          <t>Резервное копирование и восстановление (Backup/DR)</t>
        </is>
      </c>
      <c r="F60" s="65" t="n"/>
      <c r="G60" s="66">
        <f>IF(INDEX(База_угроз_эталон!$G$58:$K$58,MATCH($B$3,База_угроз_эталон!$G$4:$K$4,0))="X","X","-")</f>
        <v/>
      </c>
      <c r="H60" s="67">
        <f>IF(TRIM(F60)="","нет отметки",IF((TRIM(F60)="v")=(G60="X"),"верно","неверно"))</f>
        <v/>
      </c>
    </row>
    <row r="61" ht="23.85" customHeight="1" s="45">
      <c r="A61" s="53" t="n">
        <v>55</v>
      </c>
      <c r="B61" s="61" t="inlineStr">
        <is>
          <t>Природные и техногенные угрозы</t>
        </is>
      </c>
      <c r="C61" s="62" t="inlineStr">
        <is>
          <t>У-ПРИР-04</t>
        </is>
      </c>
      <c r="D61" s="63" t="inlineStr">
        <is>
          <t>Стихийное бедствие (ураган, паводок, землетрясение)</t>
        </is>
      </c>
      <c r="E61" s="64" t="inlineStr">
        <is>
          <t>Комплексный проект ИТСО «под ключ»</t>
        </is>
      </c>
      <c r="F61" s="65" t="n"/>
      <c r="G61" s="66">
        <f>IF(INDEX(База_угроз_эталон!$G$59:$K$59,MATCH($B$3,База_угроз_эталон!$G$4:$K$4,0))="X","X","-")</f>
        <v/>
      </c>
      <c r="H61" s="67">
        <f>IF(TRIM(F61)="","нет отметки",IF((TRIM(F61)="v")=(G61="X"),"верно","неверно"))</f>
        <v/>
      </c>
    </row>
    <row r="62" ht="15" customHeight="1" s="45">
      <c r="A62" s="53" t="n">
        <v>56</v>
      </c>
      <c r="B62" s="61" t="inlineStr">
        <is>
          <t>Природные и техногенные угрозы</t>
        </is>
      </c>
      <c r="C62" s="62" t="inlineStr">
        <is>
          <t>У-ПРИР-05</t>
        </is>
      </c>
      <c r="D62" s="63" t="inlineStr">
        <is>
          <t>Утечка бытового/технического газа</t>
        </is>
      </c>
      <c r="E62" s="64" t="inlineStr">
        <is>
          <t>Пожарная сигнализация</t>
        </is>
      </c>
      <c r="F62" s="65" t="n"/>
      <c r="G62" s="66">
        <f>IF(INDEX(База_угроз_эталон!$G$60:$K$60,MATCH($B$3,База_угроз_эталон!$G$4:$K$4,0))="X","X","-")</f>
        <v/>
      </c>
      <c r="H62" s="67">
        <f>IF(TRIM(F62)="","нет отметки",IF((TRIM(F62)="v")=(G62="X"),"верно","неверно"))</f>
        <v/>
      </c>
    </row>
    <row r="63" ht="23.85" customHeight="1" s="45">
      <c r="A63" s="53" t="n">
        <v>57</v>
      </c>
      <c r="B63" s="61" t="inlineStr">
        <is>
          <t>Природные и техногенные угрозы</t>
        </is>
      </c>
      <c r="C63" s="62" t="inlineStr">
        <is>
          <t>У-ПРИР-06</t>
        </is>
      </c>
      <c r="D63" s="63" t="inlineStr">
        <is>
          <t>Обрушение конструктивных элементов здания</t>
        </is>
      </c>
      <c r="E63" s="64" t="inlineStr">
        <is>
          <t>Комплексный проект ИТСО «под ключ»</t>
        </is>
      </c>
      <c r="F63" s="65" t="n"/>
      <c r="G63" s="66">
        <f>IF(INDEX(База_угроз_эталон!$G$61:$K$61,MATCH($B$3,База_угроз_эталон!$G$4:$K$4,0))="X","X","-")</f>
        <v/>
      </c>
      <c r="H63" s="67">
        <f>IF(TRIM(F63)="","нет отметки",IF((TRIM(F63)="v")=(G63="X"),"верно","неверно"))</f>
        <v/>
      </c>
    </row>
    <row r="64" ht="23.85" customHeight="1" s="45">
      <c r="A64" s="53" t="n">
        <v>58</v>
      </c>
      <c r="B64" s="61" t="inlineStr">
        <is>
          <t>Промышленные системы / КИИ</t>
        </is>
      </c>
      <c r="C64" s="62" t="inlineStr">
        <is>
          <t>У-АСУ-01</t>
        </is>
      </c>
      <c r="D64" s="63" t="inlineStr">
        <is>
          <t>Несанкционированное вмешательство в работу ПЛК/SCADA/HMI</t>
        </is>
      </c>
      <c r="E64" s="64" t="inlineStr">
        <is>
          <t>Категорирование объекта КИИ (187-ФЗ)</t>
        </is>
      </c>
      <c r="F64" s="65" t="n"/>
      <c r="G64" s="66">
        <f>IF(INDEX(База_угроз_эталон!$G$62:$K$62,MATCH($B$3,База_угроз_эталон!$G$4:$K$4,0))="X","X","-")</f>
        <v/>
      </c>
      <c r="H64" s="67">
        <f>IF(TRIM(F64)="","нет отметки",IF((TRIM(F64)="v")=(G64="X"),"верно","неверно"))</f>
        <v/>
      </c>
    </row>
    <row r="65" ht="23.85" customHeight="1" s="45">
      <c r="A65" s="53" t="n">
        <v>59</v>
      </c>
      <c r="B65" s="61" t="inlineStr">
        <is>
          <t>Промышленные системы / КИИ</t>
        </is>
      </c>
      <c r="C65" s="62" t="inlineStr">
        <is>
          <t>У-АСУ-02</t>
        </is>
      </c>
      <c r="D65" s="63" t="inlineStr">
        <is>
          <t>Нарушение технологического процесса вследствие кибератаки на АСУ ТП</t>
        </is>
      </c>
      <c r="E65" s="64" t="inlineStr">
        <is>
          <t>Категорирование объекта КИИ (187-ФЗ)</t>
        </is>
      </c>
      <c r="F65" s="65" t="n"/>
      <c r="G65" s="66">
        <f>IF(INDEX(База_угроз_эталон!$G$63:$K$63,MATCH($B$3,База_угроз_эталон!$G$4:$K$4,0))="X","X","-")</f>
        <v/>
      </c>
      <c r="H65" s="67">
        <f>IF(TRIM(F65)="","нет отметки",IF((TRIM(F65)="v")=(G65="X"),"верно","неверно"))</f>
        <v/>
      </c>
    </row>
    <row r="66" ht="35.05" customHeight="1" s="45">
      <c r="A66" s="53" t="n">
        <v>60</v>
      </c>
      <c r="B66" s="61" t="inlineStr">
        <is>
          <t>Промышленные системы / КИИ</t>
        </is>
      </c>
      <c r="C66" s="62" t="inlineStr">
        <is>
          <t>У-АСУ-03</t>
        </is>
      </c>
      <c r="D66" s="63" t="inlineStr">
        <is>
          <t>Физическое повреждение производственного оборудования как способ атаки</t>
        </is>
      </c>
      <c r="E66" s="64" t="inlineStr">
        <is>
          <t>СОТ (система видеонаблюдения)</t>
        </is>
      </c>
      <c r="F66" s="65" t="n"/>
      <c r="G66" s="66">
        <f>IF(INDEX(База_угроз_эталон!$G$64:$K$64,MATCH($B$3,База_угроз_эталон!$G$4:$K$4,0))="X","X","-")</f>
        <v/>
      </c>
      <c r="H66" s="67">
        <f>IF(TRIM(F66)="","нет отметки",IF((TRIM(F66)="v")=(G66="X"),"верно","неверно"))</f>
        <v/>
      </c>
    </row>
    <row r="67" ht="23.85" customHeight="1" s="45">
      <c r="A67" s="53" t="n">
        <v>61</v>
      </c>
      <c r="B67" s="61" t="inlineStr">
        <is>
          <t>Промышленные системы / КИИ</t>
        </is>
      </c>
      <c r="C67" s="62" t="inlineStr">
        <is>
          <t>У-АСУ-04</t>
        </is>
      </c>
      <c r="D67" s="63" t="inlineStr">
        <is>
          <t>Компрометация систем удалённого мониторинга и телеметрии</t>
        </is>
      </c>
      <c r="E67" s="64" t="inlineStr">
        <is>
          <t>SIEM / SOC-мониторинг</t>
        </is>
      </c>
      <c r="F67" s="65" t="n"/>
      <c r="G67" s="66">
        <f>IF(INDEX(База_угроз_эталон!$G$65:$K$65,MATCH($B$3,База_угроз_эталон!$G$4:$K$4,0))="X","X","-")</f>
        <v/>
      </c>
      <c r="H67" s="67">
        <f>IF(TRIM(F67)="","нет отметки",IF((TRIM(F67)="v")=(G67="X"),"верно","неверно"))</f>
        <v/>
      </c>
    </row>
    <row r="68" ht="23.85" customHeight="1" s="45">
      <c r="A68" s="53" t="n">
        <v>62</v>
      </c>
      <c r="B68" s="61" t="inlineStr">
        <is>
          <t>Организационно-административные</t>
        </is>
      </c>
      <c r="C68" s="62" t="inlineStr">
        <is>
          <t>У-ОРГ-01</t>
        </is>
      </c>
      <c r="D68" s="63" t="inlineStr">
        <is>
          <t>Отсутствие или устаревание политики информационной безопасности</t>
        </is>
      </c>
      <c r="E68" s="64" t="inlineStr">
        <is>
          <t>Разработка политики и регламентов ИБ</t>
        </is>
      </c>
      <c r="F68" s="65" t="n"/>
      <c r="G68" s="66">
        <f>IF(INDEX(База_угроз_эталон!$G$66:$K$66,MATCH($B$3,База_угроз_эталон!$G$4:$K$4,0))="X","X","-")</f>
        <v/>
      </c>
      <c r="H68" s="67">
        <f>IF(TRIM(F68)="","нет отметки",IF((TRIM(F68)="v")=(G68="X"),"верно","неверно"))</f>
        <v/>
      </c>
    </row>
    <row r="69" ht="23.85" customHeight="1" s="45">
      <c r="A69" s="53" t="n">
        <v>63</v>
      </c>
      <c r="B69" s="61" t="inlineStr">
        <is>
          <t>Организационно-административные</t>
        </is>
      </c>
      <c r="C69" s="62" t="inlineStr">
        <is>
          <t>У-ОРГ-02</t>
        </is>
      </c>
      <c r="D69" s="63" t="inlineStr">
        <is>
          <t>Формальное выполнение требований без фактического контроля</t>
        </is>
      </c>
      <c r="E69" s="64" t="inlineStr">
        <is>
          <t>Аудит / пентест информационной безопасности</t>
        </is>
      </c>
      <c r="F69" s="65" t="n"/>
      <c r="G69" s="66">
        <f>IF(INDEX(База_угроз_эталон!$G$67:$K$67,MATCH($B$3,База_угроз_эталон!$G$4:$K$4,0))="X","X","-")</f>
        <v/>
      </c>
      <c r="H69" s="67">
        <f>IF(TRIM(F69)="","нет отметки",IF((TRIM(F69)="v")=(G69="X"),"верно","неверно"))</f>
        <v/>
      </c>
    </row>
    <row r="70" ht="23.85" customHeight="1" s="45">
      <c r="A70" s="53" t="n">
        <v>64</v>
      </c>
      <c r="B70" s="61" t="inlineStr">
        <is>
          <t>Организационно-административные</t>
        </is>
      </c>
      <c r="C70" s="62" t="inlineStr">
        <is>
          <t>У-ОРГ-03</t>
        </is>
      </c>
      <c r="D70" s="63" t="inlineStr">
        <is>
          <t>Несвоевременное категорирование объекта КИИ или его занижение</t>
        </is>
      </c>
      <c r="E70" s="64" t="inlineStr">
        <is>
          <t>Категорирование объекта КИИ (187-ФЗ)</t>
        </is>
      </c>
      <c r="F70" s="65" t="n"/>
      <c r="G70" s="66">
        <f>IF(INDEX(База_угроз_эталон!$G$68:$K$68,MATCH($B$3,База_угроз_эталон!$G$4:$K$4,0))="X","X","-")</f>
        <v/>
      </c>
      <c r="H70" s="67">
        <f>IF(TRIM(F70)="","нет отметки",IF((TRIM(F70)="v")=(G70="X"),"верно","неверно"))</f>
        <v/>
      </c>
    </row>
    <row r="71" ht="23.85" customHeight="1" s="45">
      <c r="A71" s="53" t="n">
        <v>65</v>
      </c>
      <c r="B71" s="61" t="inlineStr">
        <is>
          <t>Организационно-административные</t>
        </is>
      </c>
      <c r="C71" s="62" t="inlineStr">
        <is>
          <t>У-ОРГ-04</t>
        </is>
      </c>
      <c r="D71" s="63" t="inlineStr">
        <is>
          <t>Обработка персональных данных без надлежащего правового основания</t>
        </is>
      </c>
      <c r="E71" s="64" t="inlineStr">
        <is>
          <t>Приведение обработки ПДн в соответствие 152-ФЗ</t>
        </is>
      </c>
      <c r="F71" s="65" t="n"/>
      <c r="G71" s="66">
        <f>IF(INDEX(База_угроз_эталон!$G$69:$K$69,MATCH($B$3,База_угроз_эталон!$G$4:$K$4,0))="X","X","-")</f>
        <v/>
      </c>
      <c r="H71" s="67">
        <f>IF(TRIM(F71)="","нет отметки",IF((TRIM(F71)="v")=(G71="X"),"верно","неверно"))</f>
        <v/>
      </c>
    </row>
    <row r="72" ht="35.05" customHeight="1" s="45">
      <c r="A72" s="53" t="n">
        <v>66</v>
      </c>
      <c r="B72" s="61" t="inlineStr">
        <is>
          <t>Организационно-административные</t>
        </is>
      </c>
      <c r="C72" s="62" t="inlineStr">
        <is>
          <t>У-ОРГ-05</t>
        </is>
      </c>
      <c r="D72" s="63" t="inlineStr">
        <is>
          <t>Отсутствие паспорта безопасности объекта или его несоответствие категории</t>
        </is>
      </c>
      <c r="E72" s="64" t="inlineStr">
        <is>
          <t>Паспорт безопасности / антитеррористическая защищённость (ПП РФ № 1006)</t>
        </is>
      </c>
      <c r="F72" s="65" t="n"/>
      <c r="G72" s="66">
        <f>IF(INDEX(База_угроз_эталон!$G$70:$K$70,MATCH($B$3,База_угроз_эталон!$G$4:$K$4,0))="X","X","-")</f>
        <v/>
      </c>
      <c r="H72" s="67">
        <f>IF(TRIM(F72)="","нет отметки",IF((TRIM(F72)="v")=(G72="X"),"верно","неверно"))</f>
        <v/>
      </c>
    </row>
    <row r="73" ht="23.85" customHeight="1" s="45">
      <c r="A73" s="53" t="n">
        <v>67</v>
      </c>
      <c r="B73" s="61" t="inlineStr">
        <is>
          <t>Организационно-административные</t>
        </is>
      </c>
      <c r="C73" s="62" t="inlineStr">
        <is>
          <t>У-ОРГ-06</t>
        </is>
      </c>
      <c r="D73" s="63" t="inlineStr">
        <is>
          <t>Отсутствие обучения персонала действиям при угрозах</t>
        </is>
      </c>
      <c r="E73" s="64" t="inlineStr">
        <is>
          <t>Программа обучения персонала (security awareness)</t>
        </is>
      </c>
      <c r="F73" s="65" t="n"/>
      <c r="G73" s="66">
        <f>IF(INDEX(База_угроз_эталон!$G$71:$K$71,MATCH($B$3,База_угроз_эталон!$G$4:$K$4,0))="X","X","-")</f>
        <v/>
      </c>
      <c r="H73" s="67">
        <f>IF(TRIM(F73)="","нет отметки",IF((TRIM(F73)="v")=(G73="X"),"верно","неверно"))</f>
        <v/>
      </c>
    </row>
    <row r="74" ht="23.85" customHeight="1" s="45">
      <c r="A74" s="53" t="n">
        <v>68</v>
      </c>
      <c r="B74" s="61" t="inlineStr">
        <is>
          <t>Организационно-административные</t>
        </is>
      </c>
      <c r="C74" s="62" t="inlineStr">
        <is>
          <t>У-ОРГ-07</t>
        </is>
      </c>
      <c r="D74" s="63" t="inlineStr">
        <is>
          <t>Формальное («для галочки») прохождение обучения персоналом</t>
        </is>
      </c>
      <c r="E74" s="64" t="inlineStr">
        <is>
          <t>Программа обучения персонала (security awareness)</t>
        </is>
      </c>
      <c r="F74" s="65" t="n"/>
      <c r="G74" s="66">
        <f>IF(INDEX(База_угроз_эталон!$G$72:$K$72,MATCH($B$3,База_угроз_эталон!$G$4:$K$4,0))="X","X","-")</f>
        <v/>
      </c>
      <c r="H74" s="67">
        <f>IF(TRIM(F74)="","нет отметки",IF((TRIM(F74)="v")=(G74="X"),"верно","неверно"))</f>
        <v/>
      </c>
    </row>
    <row r="75" ht="23.85" customHeight="1" s="45">
      <c r="A75" s="53" t="n">
        <v>69</v>
      </c>
      <c r="B75" s="61" t="inlineStr">
        <is>
          <t>Организационно-административные</t>
        </is>
      </c>
      <c r="C75" s="62" t="inlineStr">
        <is>
          <t>У-ОРГ-08</t>
        </is>
      </c>
      <c r="D75" s="63" t="inlineStr">
        <is>
          <t>Отсутствие независимого аудита, самооценка выдаётся за проверку</t>
        </is>
      </c>
      <c r="E75" s="64" t="inlineStr">
        <is>
          <t>Аудит / пентест информационной безопасности</t>
        </is>
      </c>
      <c r="F75" s="65" t="n"/>
      <c r="G75" s="66">
        <f>IF(INDEX(База_угроз_эталон!$G$73:$K$73,MATCH($B$3,База_угроз_эталон!$G$4:$K$4,0))="X","X","-")</f>
        <v/>
      </c>
      <c r="H75" s="67">
        <f>IF(TRIM(F75)="","нет отметки",IF((TRIM(F75)="v")=(G75="X"),"верно","неверно"))</f>
        <v/>
      </c>
    </row>
    <row r="76" ht="23.85" customHeight="1" s="45">
      <c r="A76" s="53" t="n">
        <v>70</v>
      </c>
      <c r="B76" s="61" t="inlineStr">
        <is>
          <t>Организационно-административные</t>
        </is>
      </c>
      <c r="C76" s="62" t="inlineStr">
        <is>
          <t>У-ОРГ-09</t>
        </is>
      </c>
      <c r="D76" s="63" t="inlineStr">
        <is>
          <t>Расхождение фактической конфигурации системы с документацией</t>
        </is>
      </c>
      <c r="E76" s="64" t="inlineStr">
        <is>
          <t>Аудит / пентест информационной безопасности</t>
        </is>
      </c>
      <c r="F76" s="65" t="n"/>
      <c r="G76" s="66">
        <f>IF(INDEX(База_угроз_эталон!$G$74:$K$74,MATCH($B$3,База_угроз_эталон!$G$4:$K$4,0))="X","X","-")</f>
        <v/>
      </c>
      <c r="H76" s="67">
        <f>IF(TRIM(F76)="","нет отметки",IF((TRIM(F76)="v")=(G76="X"),"верно","неверно"))</f>
        <v/>
      </c>
    </row>
    <row r="77">
      <c r="F77" s="68" t="n"/>
      <c r="G77" s="69" t="n"/>
      <c r="H77" s="69" t="n"/>
    </row>
    <row r="78" ht="15" customHeight="1" s="45">
      <c r="D78" s="70" t="inlineStr">
        <is>
          <t>Верных совпадений с эталоном:</t>
        </is>
      </c>
      <c r="F78" s="68" t="n"/>
      <c r="G78" s="71">
        <f>COUNTIF(H7:H76,"верно")&amp;" из "&amp;70</f>
        <v/>
      </c>
      <c r="H78" s="69" t="n"/>
    </row>
  </sheetData>
  <sheetProtection selectLockedCells="1" selectUnlockedCells="1" sheet="1" objects="0" insertRows="0" insertHyperlinks="1" autoFilter="0" scenarios="0" formatColumns="0" deleteColumns="1" insertColumns="1" pivotTables="1" deleteRows="0" formatCells="0" formatRows="0" sort="0" password="EF69"/>
  <mergeCells count="1">
    <mergeCell ref="A1:H1"/>
  </mergeCells>
  <conditionalFormatting sqref="H7:H76">
    <cfRule type="expression" rank="0" priority="2" equalAverage="0" aboveAverage="0" dxfId="0" text="" percent="0" bottom="0">
      <formula>H7="верно"</formula>
    </cfRule>
    <cfRule type="expression" rank="0" priority="3" equalAverage="0" aboveAverage="0" dxfId="1" text="" percent="0" bottom="0">
      <formula>H7="неверно"</formula>
    </cfRule>
  </conditionalFormatting>
  <dataValidations count="2">
    <dataValidation sqref="B3" showDropDown="0" showInputMessage="0" showErrorMessage="0" allowBlank="0" type="list" errorStyle="stop" operator="between">
      <formula1>"Частный дом,Офис/фирма,Завод/фабрика,Школа,Бюджетная организация (МФЦ)"</formula1>
      <formula2>0</formula2>
    </dataValidation>
    <dataValidation sqref="F7:F76" showDropDown="0" showInputMessage="0" showErrorMessage="0" allowBlank="1" type="list" errorStyle="stop" operator="between">
      <formula1>",v"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4" min="1" max="1"/>
    <col width="4" customWidth="1" style="44" min="2" max="2"/>
    <col width="30" customWidth="1" style="44" min="3" max="3"/>
    <col width="4" customWidth="1" style="44" min="4" max="4"/>
    <col width="30" customWidth="1" style="44" min="5" max="5"/>
    <col width="4" customWidth="1" style="44" min="6" max="6"/>
    <col width="32" customWidth="1" style="44" min="8" max="8"/>
  </cols>
  <sheetData>
    <row r="1" ht="16.15" customHeight="1" s="45">
      <c r="A1" s="72" t="inlineStr">
        <is>
          <t>Рулетка «Тип проекта ИБ» — три сундука, 20 типов проектов</t>
        </is>
      </c>
      <c r="B1" s="68" t="n"/>
      <c r="C1" s="68" t="n"/>
      <c r="D1" s="68" t="n"/>
      <c r="E1" s="68" t="n"/>
      <c r="F1" s="68" t="n"/>
      <c r="G1" s="68" t="n"/>
      <c r="H1" s="68" t="n"/>
    </row>
    <row r="2" ht="15" customHeight="1" s="45">
      <c r="A2" s="68" t="n"/>
      <c r="B2" s="68" t="n"/>
      <c r="C2" s="68" t="n"/>
      <c r="D2" s="68" t="n"/>
      <c r="E2" s="68" t="n"/>
      <c r="F2" s="68" t="n"/>
      <c r="G2" s="68" t="n"/>
      <c r="H2" s="73" t="inlineStr">
        <is>
          <t>Полный список (для формулы, не удалять):</t>
        </is>
      </c>
    </row>
    <row r="3" ht="25.35" customHeight="1" s="45">
      <c r="A3" s="74" t="inlineStr">
        <is>
          <t>Сундук I — ИТСО</t>
        </is>
      </c>
      <c r="B3" s="68" t="n"/>
      <c r="C3" s="74" t="inlineStr">
        <is>
          <t>Сундук II — программно-аппаратный проект</t>
        </is>
      </c>
      <c r="D3" s="68" t="n"/>
      <c r="E3" s="74" t="inlineStr">
        <is>
          <t>Сундук III — организационно-административный проект</t>
        </is>
      </c>
      <c r="F3" s="68" t="n"/>
      <c r="G3" s="68" t="n"/>
      <c r="H3" s="75" t="inlineStr">
        <is>
          <t>СКУД (система контроля и управления доступом)</t>
        </is>
      </c>
    </row>
    <row r="4" ht="23.85" customHeight="1" s="45">
      <c r="A4" s="76" t="inlineStr">
        <is>
          <t>СКУД (система контроля и управления доступом)</t>
        </is>
      </c>
      <c r="B4" s="68" t="n"/>
      <c r="C4" s="76" t="inlineStr">
        <is>
          <t>Межсетевой экран / NGFW</t>
        </is>
      </c>
      <c r="D4" s="68" t="n"/>
      <c r="E4" s="76" t="inlineStr">
        <is>
          <t>Разработка политики и регламентов ИБ</t>
        </is>
      </c>
      <c r="F4" s="68" t="n"/>
      <c r="G4" s="68" t="n"/>
      <c r="H4" s="75" t="inlineStr">
        <is>
          <t>СОТ (система видеонаблюдения)</t>
        </is>
      </c>
    </row>
    <row r="5" ht="23.85" customHeight="1" s="45">
      <c r="A5" s="76" t="inlineStr">
        <is>
          <t>СОТ (система видеонаблюдения)</t>
        </is>
      </c>
      <c r="B5" s="68" t="n"/>
      <c r="C5" s="76" t="inlineStr">
        <is>
          <t>DLP-система</t>
        </is>
      </c>
      <c r="D5" s="68" t="n"/>
      <c r="E5" s="76" t="inlineStr">
        <is>
          <t>Категорирование объекта КИИ (187-ФЗ)</t>
        </is>
      </c>
      <c r="F5" s="68" t="n"/>
      <c r="G5" s="68" t="n"/>
      <c r="H5" s="75" t="inlineStr">
        <is>
          <t>Охранная сигнализация</t>
        </is>
      </c>
    </row>
    <row r="6" ht="23.85" customHeight="1" s="45">
      <c r="A6" s="76" t="inlineStr">
        <is>
          <t>Охранная сигнализация</t>
        </is>
      </c>
      <c r="B6" s="68" t="n"/>
      <c r="C6" s="76" t="inlineStr">
        <is>
          <t>IAM / MFA / SSO</t>
        </is>
      </c>
      <c r="D6" s="68" t="n"/>
      <c r="E6" s="76" t="inlineStr">
        <is>
          <t>Приведение обработки ПДн в соответствие 152-ФЗ</t>
        </is>
      </c>
      <c r="F6" s="68" t="n"/>
      <c r="G6" s="68" t="n"/>
      <c r="H6" s="75" t="inlineStr">
        <is>
          <t>Пожарная сигнализация</t>
        </is>
      </c>
    </row>
    <row r="7" ht="35.05" customHeight="1" s="45">
      <c r="A7" s="76" t="inlineStr">
        <is>
          <t>Пожарная сигнализация</t>
        </is>
      </c>
      <c r="B7" s="68" t="n"/>
      <c r="C7" s="76" t="inlineStr">
        <is>
          <t>SIEM / SOC-мониторинг</t>
        </is>
      </c>
      <c r="D7" s="68" t="n"/>
      <c r="E7" s="76" t="inlineStr">
        <is>
          <t>Паспорт безопасности / антитеррористическая защищённость (ПП РФ № 1006)</t>
        </is>
      </c>
      <c r="F7" s="68" t="n"/>
      <c r="G7" s="68" t="n"/>
      <c r="H7" s="75" t="inlineStr">
        <is>
          <t>Периметральное ограждение и турникеты</t>
        </is>
      </c>
    </row>
    <row r="8" ht="23.85" customHeight="1" s="45">
      <c r="A8" s="76" t="inlineStr">
        <is>
          <t>Периметральное ограждение и турникеты</t>
        </is>
      </c>
      <c r="B8" s="68" t="n"/>
      <c r="C8" s="76" t="inlineStr">
        <is>
          <t>Антивирус корпоративного класса / EDR</t>
        </is>
      </c>
      <c r="D8" s="68" t="n"/>
      <c r="E8" s="76" t="inlineStr">
        <is>
          <t>Аудит / пентест информационной безопасности</t>
        </is>
      </c>
      <c r="F8" s="68" t="n"/>
      <c r="G8" s="68" t="n"/>
      <c r="H8" s="75" t="inlineStr">
        <is>
          <t>Комплексный проект ИТСО «под ключ»</t>
        </is>
      </c>
    </row>
    <row r="9" ht="23.85" customHeight="1" s="45">
      <c r="A9" s="76" t="inlineStr">
        <is>
          <t>Комплексный проект ИТСО «под ключ»</t>
        </is>
      </c>
      <c r="B9" s="68" t="n"/>
      <c r="C9" s="76" t="inlineStr">
        <is>
          <t>VPN для защищённого удалённого доступа</t>
        </is>
      </c>
      <c r="D9" s="68" t="n"/>
      <c r="E9" s="76" t="inlineStr">
        <is>
          <t>Программа обучения персонала (security awareness)</t>
        </is>
      </c>
      <c r="F9" s="68" t="n"/>
      <c r="G9" s="68" t="n"/>
      <c r="H9" s="75" t="inlineStr">
        <is>
          <t>Межсетевой экран / NGFW</t>
        </is>
      </c>
    </row>
    <row r="10" ht="23.85" customHeight="1" s="45">
      <c r="A10" s="68" t="n"/>
      <c r="B10" s="68" t="n"/>
      <c r="C10" s="76" t="inlineStr">
        <is>
          <t>Резервное копирование и восстановление (Backup/DR)</t>
        </is>
      </c>
      <c r="D10" s="68" t="n"/>
      <c r="E10" s="68" t="n"/>
      <c r="F10" s="68" t="n"/>
      <c r="G10" s="68" t="n"/>
      <c r="H10" s="75" t="inlineStr">
        <is>
          <t>DLP-система</t>
        </is>
      </c>
    </row>
    <row r="11" ht="23.85" customHeight="1" s="45">
      <c r="A11" s="68" t="n"/>
      <c r="B11" s="68" t="n"/>
      <c r="C11" s="76" t="inlineStr">
        <is>
          <t>Криптографическая защита каналов и данных (СКЗИ)</t>
        </is>
      </c>
      <c r="D11" s="68" t="n"/>
      <c r="E11" s="68" t="n"/>
      <c r="F11" s="68" t="n"/>
      <c r="G11" s="68" t="n"/>
      <c r="H11" s="75" t="inlineStr">
        <is>
          <t>IAM / MFA / SSO</t>
        </is>
      </c>
    </row>
    <row r="12" ht="16.15" customHeight="1" s="45">
      <c r="A12" s="77" t="inlineStr">
        <is>
          <t>Результат рулетки:</t>
        </is>
      </c>
      <c r="B12" s="78">
        <f>INDEX($H$3:$H$22,RANDBETWEEN(1,20))</f>
        <v/>
      </c>
      <c r="C12" s="68" t="n"/>
      <c r="D12" s="68" t="n"/>
      <c r="E12" s="68" t="n"/>
      <c r="F12" s="68" t="n"/>
      <c r="G12" s="68" t="n"/>
      <c r="H12" s="75" t="inlineStr">
        <is>
          <t>SIEM / SOC-мониторинг</t>
        </is>
      </c>
    </row>
    <row r="13" ht="27.75" customHeight="1" s="45">
      <c r="A13" s="79" t="inlineStr">
        <is>
          <t>Как «крутить»: кликните в жёлтую ячейку «Крутить» ниже, введите любое число и нажмите Enter — рулетка пересчитается сама (F9 не нужен; на Mac F9 занят яркостью экрана).</t>
        </is>
      </c>
      <c r="B13" s="68" t="n"/>
      <c r="C13" s="68" t="n"/>
      <c r="D13" s="68" t="n"/>
      <c r="E13" s="68" t="n"/>
      <c r="F13" s="68" t="n"/>
      <c r="G13" s="68" t="n"/>
      <c r="H13" s="75" t="inlineStr">
        <is>
          <t>Антивирус корпоративного класса / EDR</t>
        </is>
      </c>
    </row>
    <row r="14" ht="15" customHeight="1" s="45">
      <c r="A14" s="80" t="inlineStr">
        <is>
          <t>Крутить (введите число и нажмите Enter):</t>
        </is>
      </c>
      <c r="B14" s="68" t="n"/>
      <c r="C14" s="81" t="n"/>
      <c r="D14" s="68" t="n"/>
      <c r="E14" s="68" t="n"/>
      <c r="F14" s="68" t="n"/>
      <c r="G14" s="68" t="n"/>
      <c r="H14" s="75" t="inlineStr">
        <is>
          <t>VPN для защищённого удалённого доступа</t>
        </is>
      </c>
    </row>
    <row r="15" ht="15" customHeight="1" s="45">
      <c r="A15" s="80" t="inlineStr">
        <is>
          <t>Объект защиты (с листа «Бланк_студента»):</t>
        </is>
      </c>
      <c r="B15" s="68" t="n"/>
      <c r="C15" s="82">
        <f>Бланк_студента!B3</f>
        <v/>
      </c>
      <c r="D15" s="68" t="n"/>
      <c r="E15" s="68" t="n"/>
      <c r="F15" s="68" t="n"/>
      <c r="G15" s="68" t="n"/>
      <c r="H15" s="75" t="inlineStr">
        <is>
          <t>Резервное копирование и восстановление (Backup/DR)</t>
        </is>
      </c>
    </row>
    <row r="16" ht="15" customHeight="1" s="45">
      <c r="A16" s="68" t="n"/>
      <c r="B16" s="68" t="n"/>
      <c r="C16" s="68" t="n"/>
      <c r="D16" s="68" t="n"/>
      <c r="E16" s="68" t="n"/>
      <c r="F16" s="68" t="n"/>
      <c r="G16" s="68" t="n"/>
      <c r="H16" s="75" t="inlineStr">
        <is>
          <t>Криптографическая защита каналов и данных (СКЗИ)</t>
        </is>
      </c>
    </row>
    <row r="17" ht="15" customHeight="1" s="45">
      <c r="A17" s="83" t="inlineStr">
        <is>
          <t>Логически сочетаются? (впишите сами: да / нет)</t>
        </is>
      </c>
      <c r="B17" s="68" t="n"/>
      <c r="C17" s="60" t="n"/>
      <c r="D17" s="68" t="n"/>
      <c r="E17" s="68" t="n"/>
      <c r="F17" s="68" t="n"/>
      <c r="G17" s="68" t="n"/>
      <c r="H17" s="75" t="inlineStr">
        <is>
          <t>Разработка политики и регламентов ИБ</t>
        </is>
      </c>
    </row>
    <row r="18" ht="15" customHeight="1" s="45">
      <c r="A18" s="68" t="n"/>
      <c r="B18" s="68" t="n"/>
      <c r="C18" s="68" t="n"/>
      <c r="D18" s="68" t="n"/>
      <c r="E18" s="68" t="n"/>
      <c r="F18" s="68" t="n"/>
      <c r="G18" s="68" t="n"/>
      <c r="H18" s="75" t="inlineStr">
        <is>
          <t>Категорирование объекта КИИ (187-ФЗ)</t>
        </is>
      </c>
    </row>
    <row r="19" ht="15" customHeight="1" s="45">
      <c r="A19" s="80" t="inlineStr">
        <is>
          <t>Обоснование (если «нет» — почему проект неприменим к объекту и какая замена была бы разумнее):</t>
        </is>
      </c>
      <c r="B19" s="68" t="n"/>
      <c r="C19" s="68" t="n"/>
      <c r="D19" s="68" t="n"/>
      <c r="E19" s="68" t="n"/>
      <c r="F19" s="68" t="n"/>
      <c r="G19" s="68" t="n"/>
      <c r="H19" s="75" t="inlineStr">
        <is>
          <t>Приведение обработки ПДн в соответствие 152-ФЗ</t>
        </is>
      </c>
    </row>
    <row r="20" ht="15" customHeight="1" s="45">
      <c r="A20" s="84" t="n"/>
      <c r="B20" s="85" t="n"/>
      <c r="C20" s="85" t="n"/>
      <c r="D20" s="85" t="n"/>
      <c r="E20" s="85" t="n"/>
      <c r="F20" s="85" t="n"/>
      <c r="G20" s="68" t="n"/>
      <c r="H20" s="75" t="inlineStr">
        <is>
          <t>Паспорт безопасности / антитеррористическая защищённость (ПП РФ № 1006)</t>
        </is>
      </c>
    </row>
    <row r="21" ht="15" customHeight="1" s="45">
      <c r="A21" s="86" t="n"/>
      <c r="B21" s="68" t="n"/>
      <c r="C21" s="68" t="n"/>
      <c r="D21" s="68" t="n"/>
      <c r="E21" s="68" t="n"/>
      <c r="F21" s="68" t="n"/>
      <c r="G21" s="68" t="n"/>
      <c r="H21" s="75" t="inlineStr">
        <is>
          <t>Аудит / пентест информационной безопасности</t>
        </is>
      </c>
    </row>
    <row r="22" ht="15" customHeight="1" s="45">
      <c r="A22" s="86" t="n"/>
      <c r="B22" s="68" t="n"/>
      <c r="C22" s="68" t="n"/>
      <c r="D22" s="68" t="n"/>
      <c r="E22" s="68" t="n"/>
      <c r="F22" s="68" t="n"/>
      <c r="G22" s="68" t="n"/>
      <c r="H22" s="75" t="inlineStr">
        <is>
          <t>Программа обучения персонала (security awareness)</t>
        </is>
      </c>
    </row>
    <row r="23" ht="15" customHeight="1" s="45">
      <c r="A23" s="86" t="n"/>
      <c r="B23" s="68" t="n"/>
      <c r="C23" s="68" t="n"/>
      <c r="D23" s="68" t="n"/>
      <c r="E23" s="68" t="n"/>
      <c r="F23" s="68" t="n"/>
      <c r="G23" s="68" t="n"/>
      <c r="H23" s="68" t="n"/>
    </row>
    <row r="24" ht="15" customHeight="1" s="45">
      <c r="A24" s="86" t="n"/>
      <c r="B24" s="68" t="n"/>
      <c r="C24" s="68" t="n"/>
      <c r="D24" s="68" t="n"/>
      <c r="E24" s="68" t="n"/>
      <c r="F24" s="68" t="n"/>
      <c r="G24" s="68" t="n"/>
      <c r="H24" s="68" t="n"/>
    </row>
    <row r="25">
      <c r="A25" s="68" t="n"/>
      <c r="B25" s="68" t="n"/>
      <c r="C25" s="68" t="n"/>
      <c r="D25" s="68" t="n"/>
      <c r="E25" s="68" t="n"/>
      <c r="F25" s="68" t="n"/>
      <c r="G25" s="68" t="n"/>
      <c r="H25" s="68" t="n"/>
    </row>
    <row r="26" ht="15" customHeight="1" s="45">
      <c r="A26" s="87" t="inlineStr">
        <is>
          <t>Угрозы, профильные для выпавшего проекта (см. столбец «Профильный тип проекта» на листе «База_угроз_эталон» / «Бланк_студента»), нужно включить в модель угроз заказчика в дополнение к угрозам, актуальным для выбранного объекта защиты.</t>
        </is>
      </c>
      <c r="B26" s="68" t="n"/>
      <c r="C26" s="68" t="n"/>
      <c r="D26" s="68" t="n"/>
      <c r="E26" s="68" t="n"/>
      <c r="F26" s="68" t="n"/>
      <c r="G26" s="68" t="n"/>
      <c r="H26" s="68" t="n"/>
    </row>
    <row r="27" ht="15" customHeight="1" s="45">
      <c r="A27" s="68" t="n"/>
      <c r="B27" s="68" t="n"/>
      <c r="C27" s="68" t="n"/>
      <c r="D27" s="68" t="n"/>
      <c r="E27" s="68" t="n"/>
      <c r="F27" s="68" t="n"/>
      <c r="G27" s="68" t="n"/>
      <c r="H27" s="68" t="n"/>
    </row>
    <row r="28" ht="15" customHeight="1" s="45">
      <c r="A28" s="68" t="n"/>
      <c r="B28" s="68" t="n"/>
      <c r="C28" s="68" t="n"/>
      <c r="D28" s="68" t="n"/>
      <c r="E28" s="68" t="n"/>
      <c r="F28" s="68" t="n"/>
      <c r="G28" s="68" t="n"/>
      <c r="H28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69"/>
  <mergeCells count="29">
    <mergeCell ref="C6:D6"/>
    <mergeCell ref="C5:D5"/>
    <mergeCell ref="E5:F5"/>
    <mergeCell ref="E8:F8"/>
    <mergeCell ref="A6:B6"/>
    <mergeCell ref="C4:D4"/>
    <mergeCell ref="E4:F4"/>
    <mergeCell ref="C10:D10"/>
    <mergeCell ref="A7:B7"/>
    <mergeCell ref="A26:F28"/>
    <mergeCell ref="C9:D9"/>
    <mergeCell ref="E9:F9"/>
    <mergeCell ref="A3:B3"/>
    <mergeCell ref="A20:F24"/>
    <mergeCell ref="E6:F6"/>
    <mergeCell ref="A13:F13"/>
    <mergeCell ref="B12:E12"/>
    <mergeCell ref="C11:D11"/>
    <mergeCell ref="A5:B5"/>
    <mergeCell ref="A8:B8"/>
    <mergeCell ref="C15:E15"/>
    <mergeCell ref="C8:D8"/>
    <mergeCell ref="A4:B4"/>
    <mergeCell ref="C7:D7"/>
    <mergeCell ref="E7:F7"/>
    <mergeCell ref="A1:F1"/>
    <mergeCell ref="A9:B9"/>
    <mergeCell ref="C3:D3"/>
    <mergeCell ref="E3:F3"/>
  </mergeCells>
  <dataValidations count="1">
    <dataValidation sqref="C17" showDropDown="0" showInputMessage="0" showErrorMessage="0" allowBlank="1" type="list" errorStyle="stop" operator="between">
      <formula1>"да,нет"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8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44" min="1" max="1"/>
    <col width="10" customWidth="1" style="44" min="2" max="2"/>
    <col width="34" customWidth="1" style="44" min="3" max="3"/>
    <col width="14" customWidth="1" style="44" min="4" max="4"/>
    <col width="12" customWidth="1" style="44" min="5" max="8"/>
    <col width="9" customWidth="1" style="44" min="9" max="10"/>
    <col width="16" customWidth="1" style="44" min="11" max="11"/>
    <col width="13" customWidth="1" style="44" min="12" max="14"/>
  </cols>
  <sheetData>
    <row r="1" ht="16.15" customHeight="1" s="45">
      <c r="A1" s="51" t="inlineStr">
        <is>
          <t>Балльная оценка риска объекта ДО внедрения проекта ИБ (мини-метод Дельфи, 2 эксперта)</t>
        </is>
      </c>
    </row>
    <row r="2" ht="15" customHeight="1" s="45">
      <c r="A2" s="88" t="inlineStr">
        <is>
          <t>Метод: Риск = Вероятность (P) x Тяжесть ущерба (I), где P и I оцениваются по шкале 1-5 двумя экспертами (студент и приглашённый одногруппник) независимо друг от друга - раунд 1. Если оценки расходятся на 2 балла и более, столбец «Нужен раунд 2?» показывает «обсудите»: эксперты обсуждают расхождение и вписывают согласованные P и I вручную поверх формулы-подсказки (среднего значения). Балл риска считается только по угрозам, отмеченным флажком на листе «Бланк_студента». Это учебная мини-версия метода Дельфи (классический вариант предполагает 7+ анонимных экспертов и несколько туров через фасилитатора); методы Саати (МАИ) и Монте-Карло точнее, но существенно сложнее для ручной аудиторной работы - см. пояснение на листе «Инструкция».</t>
        </is>
      </c>
    </row>
    <row r="3" ht="15" customHeight="1" s="45"/>
    <row r="4" ht="15" customHeight="1" s="45"/>
    <row r="5"/>
    <row r="6" ht="15" customHeight="1" s="45">
      <c r="A6" s="58" t="inlineStr">
        <is>
          <t>Эксперт 1 (ФИО):</t>
        </is>
      </c>
      <c r="B6" s="68" t="n"/>
      <c r="C6" s="89" t="n"/>
      <c r="D6" s="58" t="inlineStr">
        <is>
          <t>Эксперт 2 (ФИО одногруппника):</t>
        </is>
      </c>
      <c r="E6" s="68" t="n"/>
      <c r="F6" s="89" t="n"/>
    </row>
    <row r="7" ht="15" customHeight="1" s="45">
      <c r="A7" s="70" t="inlineStr">
        <is>
          <t>Объект защиты (с листа «Бланк_студента»):</t>
        </is>
      </c>
      <c r="D7" s="90">
        <f>Бланк_студента!B3</f>
        <v/>
      </c>
    </row>
    <row r="8"/>
    <row r="9" ht="23.85" customHeight="1" s="45">
      <c r="A9" s="91" t="inlineStr">
        <is>
          <t>№</t>
        </is>
      </c>
      <c r="B9" s="91" t="inlineStr">
        <is>
          <t>Код</t>
        </is>
      </c>
      <c r="C9" s="91" t="inlineStr">
        <is>
          <t>Наименование угрозы</t>
        </is>
      </c>
      <c r="D9" s="91" t="inlineStr">
        <is>
          <t>Отмечена студентом?</t>
        </is>
      </c>
      <c r="E9" s="91" t="inlineStr">
        <is>
          <t>Эксперт 1: P (1-5)</t>
        </is>
      </c>
      <c r="F9" s="91" t="inlineStr">
        <is>
          <t>Эксперт 1: I (1-5)</t>
        </is>
      </c>
      <c r="G9" s="91" t="inlineStr">
        <is>
          <t>Эксперт 2: P (1-5)</t>
        </is>
      </c>
      <c r="H9" s="91" t="inlineStr">
        <is>
          <t>Эксперт 2: I (1-5)</t>
        </is>
      </c>
      <c r="I9" s="91" t="inlineStr">
        <is>
          <t>delta P</t>
        </is>
      </c>
      <c r="J9" s="91" t="inlineStr">
        <is>
          <t>delta I</t>
        </is>
      </c>
      <c r="K9" s="91" t="inlineStr">
        <is>
          <t>Нужен раунд 2?</t>
        </is>
      </c>
      <c r="L9" s="91" t="inlineStr">
        <is>
          <t>Согласованная P</t>
        </is>
      </c>
      <c r="M9" s="91" t="inlineStr">
        <is>
          <t>Согласованная I</t>
        </is>
      </c>
      <c r="N9" s="91" t="inlineStr">
        <is>
          <t>Балл риска (P x I)</t>
        </is>
      </c>
    </row>
    <row r="10" ht="23.85" customHeight="1" s="45">
      <c r="A10" s="53" t="n">
        <v>1</v>
      </c>
      <c r="B10" s="92" t="inlineStr">
        <is>
          <t>У-ИБ-01</t>
        </is>
      </c>
      <c r="C10" s="93" t="inlineStr">
        <is>
          <t>Внедрение вредоносного программного обеспечения</t>
        </is>
      </c>
      <c r="D10" s="92">
        <f>IF(Бланк_студента!F7="","",Бланк_студента!F7)</f>
        <v/>
      </c>
      <c r="E10" s="94" t="n"/>
      <c r="F10" s="94" t="n"/>
      <c r="G10" s="94" t="n"/>
      <c r="H10" s="94" t="n"/>
      <c r="I10" s="53">
        <f>IF(AND(ISNUMBER(E10),ISNUMBER(G10)),ABS(E10-G10),"")</f>
        <v/>
      </c>
      <c r="J10" s="53">
        <f>IF(AND(ISNUMBER(F10),ISNUMBER(H10)),ABS(F10-H10),"")</f>
        <v/>
      </c>
      <c r="K10" s="95">
        <f>IF(OR(AND(ISNUMBER(I10),I10&gt;=2),AND(ISNUMBER(J10),J10&gt;=2)),"обсудите (раунд 2)",IF(AND(ISNUMBER(I10),ISNUMBER(J10)),"согласовано",""))</f>
        <v/>
      </c>
      <c r="L10" s="53">
        <f>IFERROR(AVERAGE(E10,G10),"")</f>
        <v/>
      </c>
      <c r="M10" s="53">
        <f>IFERROR(AVERAGE(F10,H10),"")</f>
        <v/>
      </c>
      <c r="N10" s="95">
        <f>IF(AND(ISNUMBER(L10),ISNUMBER(M10)),L10*M10,0)</f>
        <v/>
      </c>
    </row>
    <row r="11" ht="23.85" customHeight="1" s="45">
      <c r="A11" s="53" t="n">
        <v>2</v>
      </c>
      <c r="B11" s="92" t="inlineStr">
        <is>
          <t>У-ИБ-02</t>
        </is>
      </c>
      <c r="C11" s="93" t="inlineStr">
        <is>
          <t>Атака программы-вымогателя (ransomware)</t>
        </is>
      </c>
      <c r="D11" s="92">
        <f>IF(Бланк_студента!F8="","",Бланк_студента!F8)</f>
        <v/>
      </c>
      <c r="E11" s="94" t="n"/>
      <c r="F11" s="94" t="n"/>
      <c r="G11" s="94" t="n"/>
      <c r="H11" s="94" t="n"/>
      <c r="I11" s="53">
        <f>IF(AND(ISNUMBER(E11),ISNUMBER(G11)),ABS(E11-G11),"")</f>
        <v/>
      </c>
      <c r="J11" s="53">
        <f>IF(AND(ISNUMBER(F11),ISNUMBER(H11)),ABS(F11-H11),"")</f>
        <v/>
      </c>
      <c r="K11" s="95">
        <f>IF(OR(AND(ISNUMBER(I11),I11&gt;=2),AND(ISNUMBER(J11),J11&gt;=2)),"обсудите (раунд 2)",IF(AND(ISNUMBER(I11),ISNUMBER(J11)),"согласовано",""))</f>
        <v/>
      </c>
      <c r="L11" s="53">
        <f>IFERROR(AVERAGE(E11,G11),"")</f>
        <v/>
      </c>
      <c r="M11" s="53">
        <f>IFERROR(AVERAGE(F11,H11),"")</f>
        <v/>
      </c>
      <c r="N11" s="95">
        <f>IF(AND(ISNUMBER(L11),ISNUMBER(M11)),L11*M11,0)</f>
        <v/>
      </c>
    </row>
    <row r="12" ht="15" customHeight="1" s="45">
      <c r="A12" s="53" t="n">
        <v>3</v>
      </c>
      <c r="B12" s="92" t="inlineStr">
        <is>
          <t>У-ИБ-03</t>
        </is>
      </c>
      <c r="C12" s="93" t="inlineStr">
        <is>
          <t>Двойное/тройное вымогательство</t>
        </is>
      </c>
      <c r="D12" s="92">
        <f>IF(Бланк_студента!F9="","",Бланк_студента!F9)</f>
        <v/>
      </c>
      <c r="E12" s="94" t="n"/>
      <c r="F12" s="94" t="n"/>
      <c r="G12" s="94" t="n"/>
      <c r="H12" s="94" t="n"/>
      <c r="I12" s="53">
        <f>IF(AND(ISNUMBER(E12),ISNUMBER(G12)),ABS(E12-G12),"")</f>
        <v/>
      </c>
      <c r="J12" s="53">
        <f>IF(AND(ISNUMBER(F12),ISNUMBER(H12)),ABS(F12-H12),"")</f>
        <v/>
      </c>
      <c r="K12" s="95">
        <f>IF(OR(AND(ISNUMBER(I12),I12&gt;=2),AND(ISNUMBER(J12),J12&gt;=2)),"обсудите (раунд 2)",IF(AND(ISNUMBER(I12),ISNUMBER(J12)),"согласовано",""))</f>
        <v/>
      </c>
      <c r="L12" s="53">
        <f>IFERROR(AVERAGE(E12,G12),"")</f>
        <v/>
      </c>
      <c r="M12" s="53">
        <f>IFERROR(AVERAGE(F12,H12),"")</f>
        <v/>
      </c>
      <c r="N12" s="95">
        <f>IF(AND(ISNUMBER(L12),ISNUMBER(M12)),L12*M12,0)</f>
        <v/>
      </c>
    </row>
    <row r="13" ht="15" customHeight="1" s="45">
      <c r="A13" s="53" t="n">
        <v>4</v>
      </c>
      <c r="B13" s="92" t="inlineStr">
        <is>
          <t>У-ИБ-04</t>
        </is>
      </c>
      <c r="C13" s="93" t="inlineStr">
        <is>
          <t>Фишинговая рассылка</t>
        </is>
      </c>
      <c r="D13" s="92">
        <f>IF(Бланк_студента!F10="","",Бланк_студента!F10)</f>
        <v/>
      </c>
      <c r="E13" s="94" t="n"/>
      <c r="F13" s="94" t="n"/>
      <c r="G13" s="94" t="n"/>
      <c r="H13" s="94" t="n"/>
      <c r="I13" s="53">
        <f>IF(AND(ISNUMBER(E13),ISNUMBER(G13)),ABS(E13-G13),"")</f>
        <v/>
      </c>
      <c r="J13" s="53">
        <f>IF(AND(ISNUMBER(F13),ISNUMBER(H13)),ABS(F13-H13),"")</f>
        <v/>
      </c>
      <c r="K13" s="95">
        <f>IF(OR(AND(ISNUMBER(I13),I13&gt;=2),AND(ISNUMBER(J13),J13&gt;=2)),"обсудите (раунд 2)",IF(AND(ISNUMBER(I13),ISNUMBER(J13)),"согласовано",""))</f>
        <v/>
      </c>
      <c r="L13" s="53">
        <f>IFERROR(AVERAGE(E13,G13),"")</f>
        <v/>
      </c>
      <c r="M13" s="53">
        <f>IFERROR(AVERAGE(F13,H13),"")</f>
        <v/>
      </c>
      <c r="N13" s="95">
        <f>IF(AND(ISNUMBER(L13),ISNUMBER(M13)),L13*M13,0)</f>
        <v/>
      </c>
    </row>
    <row r="14" ht="15" customHeight="1" s="45">
      <c r="A14" s="53" t="n">
        <v>5</v>
      </c>
      <c r="B14" s="92" t="inlineStr">
        <is>
          <t>У-ИБ-05</t>
        </is>
      </c>
      <c r="C14" s="93" t="inlineStr">
        <is>
          <t>Целевой фишинг (spear-phishing)</t>
        </is>
      </c>
      <c r="D14" s="92">
        <f>IF(Бланк_студента!F11="","",Бланк_студента!F11)</f>
        <v/>
      </c>
      <c r="E14" s="94" t="n"/>
      <c r="F14" s="94" t="n"/>
      <c r="G14" s="94" t="n"/>
      <c r="H14" s="94" t="n"/>
      <c r="I14" s="53">
        <f>IF(AND(ISNUMBER(E14),ISNUMBER(G14)),ABS(E14-G14),"")</f>
        <v/>
      </c>
      <c r="J14" s="53">
        <f>IF(AND(ISNUMBER(F14),ISNUMBER(H14)),ABS(F14-H14),"")</f>
        <v/>
      </c>
      <c r="K14" s="95">
        <f>IF(OR(AND(ISNUMBER(I14),I14&gt;=2),AND(ISNUMBER(J14),J14&gt;=2)),"обсудите (раунд 2)",IF(AND(ISNUMBER(I14),ISNUMBER(J14)),"согласовано",""))</f>
        <v/>
      </c>
      <c r="L14" s="53">
        <f>IFERROR(AVERAGE(E14,G14),"")</f>
        <v/>
      </c>
      <c r="M14" s="53">
        <f>IFERROR(AVERAGE(F14,H14),"")</f>
        <v/>
      </c>
      <c r="N14" s="95">
        <f>IF(AND(ISNUMBER(L14),ISNUMBER(M14)),L14*M14,0)</f>
        <v/>
      </c>
    </row>
    <row r="15" ht="23.85" customHeight="1" s="45">
      <c r="A15" s="53" t="n">
        <v>6</v>
      </c>
      <c r="B15" s="92" t="inlineStr">
        <is>
          <t>У-ИБ-06</t>
        </is>
      </c>
      <c r="C15" s="93" t="inlineStr">
        <is>
          <t>Несанкционированный доступ через компрометацию пароля</t>
        </is>
      </c>
      <c r="D15" s="92">
        <f>IF(Бланк_студента!F12="","",Бланк_студента!F12)</f>
        <v/>
      </c>
      <c r="E15" s="94" t="n"/>
      <c r="F15" s="94" t="n"/>
      <c r="G15" s="94" t="n"/>
      <c r="H15" s="94" t="n"/>
      <c r="I15" s="53">
        <f>IF(AND(ISNUMBER(E15),ISNUMBER(G15)),ABS(E15-G15),"")</f>
        <v/>
      </c>
      <c r="J15" s="53">
        <f>IF(AND(ISNUMBER(F15),ISNUMBER(H15)),ABS(F15-H15),"")</f>
        <v/>
      </c>
      <c r="K15" s="95">
        <f>IF(OR(AND(ISNUMBER(I15),I15&gt;=2),AND(ISNUMBER(J15),J15&gt;=2)),"обсудите (раунд 2)",IF(AND(ISNUMBER(I15),ISNUMBER(J15)),"согласовано",""))</f>
        <v/>
      </c>
      <c r="L15" s="53">
        <f>IFERROR(AVERAGE(E15,G15),"")</f>
        <v/>
      </c>
      <c r="M15" s="53">
        <f>IFERROR(AVERAGE(F15,H15),"")</f>
        <v/>
      </c>
      <c r="N15" s="95">
        <f>IF(AND(ISNUMBER(L15),ISNUMBER(M15)),L15*M15,0)</f>
        <v/>
      </c>
    </row>
    <row r="16" ht="23.85" customHeight="1" s="45">
      <c r="A16" s="53" t="n">
        <v>7</v>
      </c>
      <c r="B16" s="92" t="inlineStr">
        <is>
          <t>У-ИБ-07</t>
        </is>
      </c>
      <c r="C16" s="93" t="inlineStr">
        <is>
          <t>Эксплуатация уязвимостей ПО (включая 0-day)</t>
        </is>
      </c>
      <c r="D16" s="92">
        <f>IF(Бланк_студента!F13="","",Бланк_студента!F13)</f>
        <v/>
      </c>
      <c r="E16" s="94" t="n"/>
      <c r="F16" s="94" t="n"/>
      <c r="G16" s="94" t="n"/>
      <c r="H16" s="94" t="n"/>
      <c r="I16" s="53">
        <f>IF(AND(ISNUMBER(E16),ISNUMBER(G16)),ABS(E16-G16),"")</f>
        <v/>
      </c>
      <c r="J16" s="53">
        <f>IF(AND(ISNUMBER(F16),ISNUMBER(H16)),ABS(F16-H16),"")</f>
        <v/>
      </c>
      <c r="K16" s="95">
        <f>IF(OR(AND(ISNUMBER(I16),I16&gt;=2),AND(ISNUMBER(J16),J16&gt;=2)),"обсудите (раунд 2)",IF(AND(ISNUMBER(I16),ISNUMBER(J16)),"согласовано",""))</f>
        <v/>
      </c>
      <c r="L16" s="53">
        <f>IFERROR(AVERAGE(E16,G16),"")</f>
        <v/>
      </c>
      <c r="M16" s="53">
        <f>IFERROR(AVERAGE(F16,H16),"")</f>
        <v/>
      </c>
      <c r="N16" s="95">
        <f>IF(AND(ISNUMBER(L16),ISNUMBER(M16)),L16*M16,0)</f>
        <v/>
      </c>
    </row>
    <row r="17" ht="15" customHeight="1" s="45">
      <c r="A17" s="53" t="n">
        <v>8</v>
      </c>
      <c r="B17" s="92" t="inlineStr">
        <is>
          <t>У-ИБ-08</t>
        </is>
      </c>
      <c r="C17" s="93" t="inlineStr">
        <is>
          <t>DDoS-атака</t>
        </is>
      </c>
      <c r="D17" s="92">
        <f>IF(Бланк_студента!F14="","",Бланк_студента!F14)</f>
        <v/>
      </c>
      <c r="E17" s="94" t="n"/>
      <c r="F17" s="94" t="n"/>
      <c r="G17" s="94" t="n"/>
      <c r="H17" s="94" t="n"/>
      <c r="I17" s="53">
        <f>IF(AND(ISNUMBER(E17),ISNUMBER(G17)),ABS(E17-G17),"")</f>
        <v/>
      </c>
      <c r="J17" s="53">
        <f>IF(AND(ISNUMBER(F17),ISNUMBER(H17)),ABS(F17-H17),"")</f>
        <v/>
      </c>
      <c r="K17" s="95">
        <f>IF(OR(AND(ISNUMBER(I17),I17&gt;=2),AND(ISNUMBER(J17),J17&gt;=2)),"обсудите (раунд 2)",IF(AND(ISNUMBER(I17),ISNUMBER(J17)),"согласовано",""))</f>
        <v/>
      </c>
      <c r="L17" s="53">
        <f>IFERROR(AVERAGE(E17,G17),"")</f>
        <v/>
      </c>
      <c r="M17" s="53">
        <f>IFERROR(AVERAGE(F17,H17),"")</f>
        <v/>
      </c>
      <c r="N17" s="95">
        <f>IF(AND(ISNUMBER(L17),ISNUMBER(M17)),L17*M17,0)</f>
        <v/>
      </c>
    </row>
    <row r="18" ht="15" customHeight="1" s="45">
      <c r="A18" s="53" t="n">
        <v>9</v>
      </c>
      <c r="B18" s="92" t="inlineStr">
        <is>
          <t>У-ИБ-09</t>
        </is>
      </c>
      <c r="C18" s="93" t="inlineStr">
        <is>
          <t>Атака «человек посередине» (MITM)</t>
        </is>
      </c>
      <c r="D18" s="92">
        <f>IF(Бланк_студента!F15="","",Бланк_студента!F15)</f>
        <v/>
      </c>
      <c r="E18" s="94" t="n"/>
      <c r="F18" s="94" t="n"/>
      <c r="G18" s="94" t="n"/>
      <c r="H18" s="94" t="n"/>
      <c r="I18" s="53">
        <f>IF(AND(ISNUMBER(E18),ISNUMBER(G18)),ABS(E18-G18),"")</f>
        <v/>
      </c>
      <c r="J18" s="53">
        <f>IF(AND(ISNUMBER(F18),ISNUMBER(H18)),ABS(F18-H18),"")</f>
        <v/>
      </c>
      <c r="K18" s="95">
        <f>IF(OR(AND(ISNUMBER(I18),I18&gt;=2),AND(ISNUMBER(J18),J18&gt;=2)),"обсудите (раунд 2)",IF(AND(ISNUMBER(I18),ISNUMBER(J18)),"согласовано",""))</f>
        <v/>
      </c>
      <c r="L18" s="53">
        <f>IFERROR(AVERAGE(E18,G18),"")</f>
        <v/>
      </c>
      <c r="M18" s="53">
        <f>IFERROR(AVERAGE(F18,H18),"")</f>
        <v/>
      </c>
      <c r="N18" s="95">
        <f>IF(AND(ISNUMBER(L18),ISNUMBER(M18)),L18*M18,0)</f>
        <v/>
      </c>
    </row>
    <row r="19" ht="23.85" customHeight="1" s="45">
      <c r="A19" s="53" t="n">
        <v>10</v>
      </c>
      <c r="B19" s="92" t="inlineStr">
        <is>
          <t>У-ИБ-10</t>
        </is>
      </c>
      <c r="C19" s="93" t="inlineStr">
        <is>
          <t>Компрометация контейнеризированных сред</t>
        </is>
      </c>
      <c r="D19" s="92">
        <f>IF(Бланк_студента!F16="","",Бланк_студента!F16)</f>
        <v/>
      </c>
      <c r="E19" s="94" t="n"/>
      <c r="F19" s="94" t="n"/>
      <c r="G19" s="94" t="n"/>
      <c r="H19" s="94" t="n"/>
      <c r="I19" s="53">
        <f>IF(AND(ISNUMBER(E19),ISNUMBER(G19)),ABS(E19-G19),"")</f>
        <v/>
      </c>
      <c r="J19" s="53">
        <f>IF(AND(ISNUMBER(F19),ISNUMBER(H19)),ABS(F19-H19),"")</f>
        <v/>
      </c>
      <c r="K19" s="95">
        <f>IF(OR(AND(ISNUMBER(I19),I19&gt;=2),AND(ISNUMBER(J19),J19&gt;=2)),"обсудите (раунд 2)",IF(AND(ISNUMBER(I19),ISNUMBER(J19)),"согласовано",""))</f>
        <v/>
      </c>
      <c r="L19" s="53">
        <f>IFERROR(AVERAGE(E19,G19),"")</f>
        <v/>
      </c>
      <c r="M19" s="53">
        <f>IFERROR(AVERAGE(F19,H19),"")</f>
        <v/>
      </c>
      <c r="N19" s="95">
        <f>IF(AND(ISNUMBER(L19),ISNUMBER(M19)),L19*M19,0)</f>
        <v/>
      </c>
    </row>
    <row r="20" ht="15" customHeight="1" s="45">
      <c r="A20" s="53" t="n">
        <v>11</v>
      </c>
      <c r="B20" s="92" t="inlineStr">
        <is>
          <t>У-ИБ-11</t>
        </is>
      </c>
      <c r="C20" s="93" t="inlineStr">
        <is>
          <t>Угрозы систем искусственного интеллекта</t>
        </is>
      </c>
      <c r="D20" s="92">
        <f>IF(Бланк_студента!F17="","",Бланк_студента!F17)</f>
        <v/>
      </c>
      <c r="E20" s="94" t="n"/>
      <c r="F20" s="94" t="n"/>
      <c r="G20" s="94" t="n"/>
      <c r="H20" s="94" t="n"/>
      <c r="I20" s="53">
        <f>IF(AND(ISNUMBER(E20),ISNUMBER(G20)),ABS(E20-G20),"")</f>
        <v/>
      </c>
      <c r="J20" s="53">
        <f>IF(AND(ISNUMBER(F20),ISNUMBER(H20)),ABS(F20-H20),"")</f>
        <v/>
      </c>
      <c r="K20" s="95">
        <f>IF(OR(AND(ISNUMBER(I20),I20&gt;=2),AND(ISNUMBER(J20),J20&gt;=2)),"обсудите (раунд 2)",IF(AND(ISNUMBER(I20),ISNUMBER(J20)),"согласовано",""))</f>
        <v/>
      </c>
      <c r="L20" s="53">
        <f>IFERROR(AVERAGE(E20,G20),"")</f>
        <v/>
      </c>
      <c r="M20" s="53">
        <f>IFERROR(AVERAGE(F20,H20),"")</f>
        <v/>
      </c>
      <c r="N20" s="95">
        <f>IF(AND(ISNUMBER(L20),ISNUMBER(M20)),L20*M20,0)</f>
        <v/>
      </c>
    </row>
    <row r="21" ht="23.85" customHeight="1" s="45">
      <c r="A21" s="53" t="n">
        <v>12</v>
      </c>
      <c r="B21" s="92" t="inlineStr">
        <is>
          <t>У-ИБ-12</t>
        </is>
      </c>
      <c r="C21" s="93" t="inlineStr">
        <is>
          <t>Мошенничество с использованием deepfake</t>
        </is>
      </c>
      <c r="D21" s="92">
        <f>IF(Бланк_студента!F18="","",Бланк_студента!F18)</f>
        <v/>
      </c>
      <c r="E21" s="94" t="n"/>
      <c r="F21" s="94" t="n"/>
      <c r="G21" s="94" t="n"/>
      <c r="H21" s="94" t="n"/>
      <c r="I21" s="53">
        <f>IF(AND(ISNUMBER(E21),ISNUMBER(G21)),ABS(E21-G21),"")</f>
        <v/>
      </c>
      <c r="J21" s="53">
        <f>IF(AND(ISNUMBER(F21),ISNUMBER(H21)),ABS(F21-H21),"")</f>
        <v/>
      </c>
      <c r="K21" s="95">
        <f>IF(OR(AND(ISNUMBER(I21),I21&gt;=2),AND(ISNUMBER(J21),J21&gt;=2)),"обсудите (раунд 2)",IF(AND(ISNUMBER(I21),ISNUMBER(J21)),"согласовано",""))</f>
        <v/>
      </c>
      <c r="L21" s="53">
        <f>IFERROR(AVERAGE(E21,G21),"")</f>
        <v/>
      </c>
      <c r="M21" s="53">
        <f>IFERROR(AVERAGE(F21,H21),"")</f>
        <v/>
      </c>
      <c r="N21" s="95">
        <f>IF(AND(ISNUMBER(L21),ISNUMBER(M21)),L21*M21,0)</f>
        <v/>
      </c>
    </row>
    <row r="22" ht="23.85" customHeight="1" s="45">
      <c r="A22" s="53" t="n">
        <v>13</v>
      </c>
      <c r="B22" s="92" t="inlineStr">
        <is>
          <t>У-ИБ-13</t>
        </is>
      </c>
      <c r="C22" s="93" t="inlineStr">
        <is>
          <t>Утечка конфиденциальной информации по незащищённым каналам</t>
        </is>
      </c>
      <c r="D22" s="92">
        <f>IF(Бланк_студента!F19="","",Бланк_студента!F19)</f>
        <v/>
      </c>
      <c r="E22" s="94" t="n"/>
      <c r="F22" s="94" t="n"/>
      <c r="G22" s="94" t="n"/>
      <c r="H22" s="94" t="n"/>
      <c r="I22" s="53">
        <f>IF(AND(ISNUMBER(E22),ISNUMBER(G22)),ABS(E22-G22),"")</f>
        <v/>
      </c>
      <c r="J22" s="53">
        <f>IF(AND(ISNUMBER(F22),ISNUMBER(H22)),ABS(F22-H22),"")</f>
        <v/>
      </c>
      <c r="K22" s="95">
        <f>IF(OR(AND(ISNUMBER(I22),I22&gt;=2),AND(ISNUMBER(J22),J22&gt;=2)),"обсудите (раунд 2)",IF(AND(ISNUMBER(I22),ISNUMBER(J22)),"согласовано",""))</f>
        <v/>
      </c>
      <c r="L22" s="53">
        <f>IFERROR(AVERAGE(E22,G22),"")</f>
        <v/>
      </c>
      <c r="M22" s="53">
        <f>IFERROR(AVERAGE(F22,H22),"")</f>
        <v/>
      </c>
      <c r="N22" s="95">
        <f>IF(AND(ISNUMBER(L22),ISNUMBER(M22)),L22*M22,0)</f>
        <v/>
      </c>
    </row>
    <row r="23" ht="15" customHeight="1" s="45">
      <c r="A23" s="53" t="n">
        <v>14</v>
      </c>
      <c r="B23" s="92" t="inlineStr">
        <is>
          <t>У-ИБ-14</t>
        </is>
      </c>
      <c r="C23" s="93" t="inlineStr">
        <is>
          <t>Компрометация облачной инфраструктуры</t>
        </is>
      </c>
      <c r="D23" s="92">
        <f>IF(Бланк_студента!F20="","",Бланк_студента!F20)</f>
        <v/>
      </c>
      <c r="E23" s="94" t="n"/>
      <c r="F23" s="94" t="n"/>
      <c r="G23" s="94" t="n"/>
      <c r="H23" s="94" t="n"/>
      <c r="I23" s="53">
        <f>IF(AND(ISNUMBER(E23),ISNUMBER(G23)),ABS(E23-G23),"")</f>
        <v/>
      </c>
      <c r="J23" s="53">
        <f>IF(AND(ISNUMBER(F23),ISNUMBER(H23)),ABS(F23-H23),"")</f>
        <v/>
      </c>
      <c r="K23" s="95">
        <f>IF(OR(AND(ISNUMBER(I23),I23&gt;=2),AND(ISNUMBER(J23),J23&gt;=2)),"обсудите (раунд 2)",IF(AND(ISNUMBER(I23),ISNUMBER(J23)),"согласовано",""))</f>
        <v/>
      </c>
      <c r="L23" s="53">
        <f>IFERROR(AVERAGE(E23,G23),"")</f>
        <v/>
      </c>
      <c r="M23" s="53">
        <f>IFERROR(AVERAGE(F23,H23),"")</f>
        <v/>
      </c>
      <c r="N23" s="95">
        <f>IF(AND(ISNUMBER(L23),ISNUMBER(M23)),L23*M23,0)</f>
        <v/>
      </c>
    </row>
    <row r="24" ht="23.85" customHeight="1" s="45">
      <c r="A24" s="53" t="n">
        <v>15</v>
      </c>
      <c r="B24" s="92" t="inlineStr">
        <is>
          <t>У-ИБ-15</t>
        </is>
      </c>
      <c r="C24" s="93" t="inlineStr">
        <is>
          <t>Несанкционированный доступ к Wi-Fi сети</t>
        </is>
      </c>
      <c r="D24" s="92">
        <f>IF(Бланк_студента!F21="","",Бланк_студента!F21)</f>
        <v/>
      </c>
      <c r="E24" s="94" t="n"/>
      <c r="F24" s="94" t="n"/>
      <c r="G24" s="94" t="n"/>
      <c r="H24" s="94" t="n"/>
      <c r="I24" s="53">
        <f>IF(AND(ISNUMBER(E24),ISNUMBER(G24)),ABS(E24-G24),"")</f>
        <v/>
      </c>
      <c r="J24" s="53">
        <f>IF(AND(ISNUMBER(F24),ISNUMBER(H24)),ABS(F24-H24),"")</f>
        <v/>
      </c>
      <c r="K24" s="95">
        <f>IF(OR(AND(ISNUMBER(I24),I24&gt;=2),AND(ISNUMBER(J24),J24&gt;=2)),"обсудите (раунд 2)",IF(AND(ISNUMBER(I24),ISNUMBER(J24)),"согласовано",""))</f>
        <v/>
      </c>
      <c r="L24" s="53">
        <f>IFERROR(AVERAGE(E24,G24),"")</f>
        <v/>
      </c>
      <c r="M24" s="53">
        <f>IFERROR(AVERAGE(F24,H24),"")</f>
        <v/>
      </c>
      <c r="N24" s="95">
        <f>IF(AND(ISNUMBER(L24),ISNUMBER(M24)),L24*M24,0)</f>
        <v/>
      </c>
    </row>
    <row r="25" ht="15" customHeight="1" s="45">
      <c r="A25" s="53" t="n">
        <v>16</v>
      </c>
      <c r="B25" s="92" t="inlineStr">
        <is>
          <t>У-ИБ-16</t>
        </is>
      </c>
      <c r="C25" s="93" t="inlineStr">
        <is>
          <t>Компрометация IoT/«умных» устройств</t>
        </is>
      </c>
      <c r="D25" s="92">
        <f>IF(Бланк_студента!F22="","",Бланк_студента!F22)</f>
        <v/>
      </c>
      <c r="E25" s="94" t="n"/>
      <c r="F25" s="94" t="n"/>
      <c r="G25" s="94" t="n"/>
      <c r="H25" s="94" t="n"/>
      <c r="I25" s="53">
        <f>IF(AND(ISNUMBER(E25),ISNUMBER(G25)),ABS(E25-G25),"")</f>
        <v/>
      </c>
      <c r="J25" s="53">
        <f>IF(AND(ISNUMBER(F25),ISNUMBER(H25)),ABS(F25-H25),"")</f>
        <v/>
      </c>
      <c r="K25" s="95">
        <f>IF(OR(AND(ISNUMBER(I25),I25&gt;=2),AND(ISNUMBER(J25),J25&gt;=2)),"обсудите (раунд 2)",IF(AND(ISNUMBER(I25),ISNUMBER(J25)),"согласовано",""))</f>
        <v/>
      </c>
      <c r="L25" s="53">
        <f>IFERROR(AVERAGE(E25,G25),"")</f>
        <v/>
      </c>
      <c r="M25" s="53">
        <f>IFERROR(AVERAGE(F25,H25),"")</f>
        <v/>
      </c>
      <c r="N25" s="95">
        <f>IF(AND(ISNUMBER(L25),ISNUMBER(M25)),L25*M25,0)</f>
        <v/>
      </c>
    </row>
    <row r="26" ht="23.85" customHeight="1" s="45">
      <c r="A26" s="53" t="n">
        <v>17</v>
      </c>
      <c r="B26" s="92" t="inlineStr">
        <is>
          <t>У-ИБ-17</t>
        </is>
      </c>
      <c r="C26" s="93" t="inlineStr">
        <is>
          <t>Обход DLP через фото экрана или стеганографию</t>
        </is>
      </c>
      <c r="D26" s="92">
        <f>IF(Бланк_студента!F23="","",Бланк_студента!F23)</f>
        <v/>
      </c>
      <c r="E26" s="94" t="n"/>
      <c r="F26" s="94" t="n"/>
      <c r="G26" s="94" t="n"/>
      <c r="H26" s="94" t="n"/>
      <c r="I26" s="53">
        <f>IF(AND(ISNUMBER(E26),ISNUMBER(G26)),ABS(E26-G26),"")</f>
        <v/>
      </c>
      <c r="J26" s="53">
        <f>IF(AND(ISNUMBER(F26),ISNUMBER(H26)),ABS(F26-H26),"")</f>
        <v/>
      </c>
      <c r="K26" s="95">
        <f>IF(OR(AND(ISNUMBER(I26),I26&gt;=2),AND(ISNUMBER(J26),J26&gt;=2)),"обсудите (раунд 2)",IF(AND(ISNUMBER(I26),ISNUMBER(J26)),"согласовано",""))</f>
        <v/>
      </c>
      <c r="L26" s="53">
        <f>IFERROR(AVERAGE(E26,G26),"")</f>
        <v/>
      </c>
      <c r="M26" s="53">
        <f>IFERROR(AVERAGE(F26,H26),"")</f>
        <v/>
      </c>
      <c r="N26" s="95">
        <f>IF(AND(ISNUMBER(L26),ISNUMBER(M26)),L26*M26,0)</f>
        <v/>
      </c>
    </row>
    <row r="27" ht="23.85" customHeight="1" s="45">
      <c r="A27" s="53" t="n">
        <v>18</v>
      </c>
      <c r="B27" s="92" t="inlineStr">
        <is>
          <t>У-ИБ-18</t>
        </is>
      </c>
      <c r="C27" s="93" t="inlineStr">
        <is>
          <t>Утечка через теневые ИТ и BYOD-устройства</t>
        </is>
      </c>
      <c r="D27" s="92">
        <f>IF(Бланк_студента!F24="","",Бланк_студента!F24)</f>
        <v/>
      </c>
      <c r="E27" s="94" t="n"/>
      <c r="F27" s="94" t="n"/>
      <c r="G27" s="94" t="n"/>
      <c r="H27" s="94" t="n"/>
      <c r="I27" s="53">
        <f>IF(AND(ISNUMBER(E27),ISNUMBER(G27)),ABS(E27-G27),"")</f>
        <v/>
      </c>
      <c r="J27" s="53">
        <f>IF(AND(ISNUMBER(F27),ISNUMBER(H27)),ABS(F27-H27),"")</f>
        <v/>
      </c>
      <c r="K27" s="95">
        <f>IF(OR(AND(ISNUMBER(I27),I27&gt;=2),AND(ISNUMBER(J27),J27&gt;=2)),"обсудите (раунд 2)",IF(AND(ISNUMBER(I27),ISNUMBER(J27)),"согласовано",""))</f>
        <v/>
      </c>
      <c r="L27" s="53">
        <f>IFERROR(AVERAGE(E27,G27),"")</f>
        <v/>
      </c>
      <c r="M27" s="53">
        <f>IFERROR(AVERAGE(F27,H27),"")</f>
        <v/>
      </c>
      <c r="N27" s="95">
        <f>IF(AND(ISNUMBER(L27),ISNUMBER(M27)),L27*M27,0)</f>
        <v/>
      </c>
    </row>
    <row r="28" ht="23.85" customHeight="1" s="45">
      <c r="A28" s="53" t="n">
        <v>19</v>
      </c>
      <c r="B28" s="92" t="inlineStr">
        <is>
          <t>У-ИБ-19</t>
        </is>
      </c>
      <c r="C28" s="93" t="inlineStr">
        <is>
          <t>Ошибка конфигурации межсетевого экрана</t>
        </is>
      </c>
      <c r="D28" s="92">
        <f>IF(Бланк_студента!F25="","",Бланк_студента!F25)</f>
        <v/>
      </c>
      <c r="E28" s="94" t="n"/>
      <c r="F28" s="94" t="n"/>
      <c r="G28" s="94" t="n"/>
      <c r="H28" s="94" t="n"/>
      <c r="I28" s="53">
        <f>IF(AND(ISNUMBER(E28),ISNUMBER(G28)),ABS(E28-G28),"")</f>
        <v/>
      </c>
      <c r="J28" s="53">
        <f>IF(AND(ISNUMBER(F28),ISNUMBER(H28)),ABS(F28-H28),"")</f>
        <v/>
      </c>
      <c r="K28" s="95">
        <f>IF(OR(AND(ISNUMBER(I28),I28&gt;=2),AND(ISNUMBER(J28),J28&gt;=2)),"обсудите (раунд 2)",IF(AND(ISNUMBER(I28),ISNUMBER(J28)),"согласовано",""))</f>
        <v/>
      </c>
      <c r="L28" s="53">
        <f>IFERROR(AVERAGE(E28,G28),"")</f>
        <v/>
      </c>
      <c r="M28" s="53">
        <f>IFERROR(AVERAGE(F28,H28),"")</f>
        <v/>
      </c>
      <c r="N28" s="95">
        <f>IF(AND(ISNUMBER(L28),ISNUMBER(M28)),L28*M28,0)</f>
        <v/>
      </c>
    </row>
    <row r="29" ht="23.85" customHeight="1" s="45">
      <c r="A29" s="53" t="n">
        <v>20</v>
      </c>
      <c r="B29" s="92" t="inlineStr">
        <is>
          <t>У-ИБ-20</t>
        </is>
      </c>
      <c r="C29" s="93" t="inlineStr">
        <is>
          <t>Обход межсетевого экрана через туннелирование</t>
        </is>
      </c>
      <c r="D29" s="92">
        <f>IF(Бланк_студента!F26="","",Бланк_студента!F26)</f>
        <v/>
      </c>
      <c r="E29" s="94" t="n"/>
      <c r="F29" s="94" t="n"/>
      <c r="G29" s="94" t="n"/>
      <c r="H29" s="94" t="n"/>
      <c r="I29" s="53">
        <f>IF(AND(ISNUMBER(E29),ISNUMBER(G29)),ABS(E29-G29),"")</f>
        <v/>
      </c>
      <c r="J29" s="53">
        <f>IF(AND(ISNUMBER(F29),ISNUMBER(H29)),ABS(F29-H29),"")</f>
        <v/>
      </c>
      <c r="K29" s="95">
        <f>IF(OR(AND(ISNUMBER(I29),I29&gt;=2),AND(ISNUMBER(J29),J29&gt;=2)),"обсудите (раунд 2)",IF(AND(ISNUMBER(I29),ISNUMBER(J29)),"согласовано",""))</f>
        <v/>
      </c>
      <c r="L29" s="53">
        <f>IFERROR(AVERAGE(E29,G29),"")</f>
        <v/>
      </c>
      <c r="M29" s="53">
        <f>IFERROR(AVERAGE(F29,H29),"")</f>
        <v/>
      </c>
      <c r="N29" s="95">
        <f>IF(AND(ISNUMBER(L29),ISNUMBER(M29)),L29*M29,0)</f>
        <v/>
      </c>
    </row>
    <row r="30" ht="15" customHeight="1" s="45">
      <c r="A30" s="53" t="n">
        <v>21</v>
      </c>
      <c r="B30" s="92" t="inlineStr">
        <is>
          <t>У-ИБ-21</t>
        </is>
      </c>
      <c r="C30" s="93" t="inlineStr">
        <is>
          <t>Компрометация единой точки входа (SSO)</t>
        </is>
      </c>
      <c r="D30" s="92">
        <f>IF(Бланк_студента!F27="","",Бланк_студента!F27)</f>
        <v/>
      </c>
      <c r="E30" s="94" t="n"/>
      <c r="F30" s="94" t="n"/>
      <c r="G30" s="94" t="n"/>
      <c r="H30" s="94" t="n"/>
      <c r="I30" s="53">
        <f>IF(AND(ISNUMBER(E30),ISNUMBER(G30)),ABS(E30-G30),"")</f>
        <v/>
      </c>
      <c r="J30" s="53">
        <f>IF(AND(ISNUMBER(F30),ISNUMBER(H30)),ABS(F30-H30),"")</f>
        <v/>
      </c>
      <c r="K30" s="95">
        <f>IF(OR(AND(ISNUMBER(I30),I30&gt;=2),AND(ISNUMBER(J30),J30&gt;=2)),"обсудите (раунд 2)",IF(AND(ISNUMBER(I30),ISNUMBER(J30)),"согласовано",""))</f>
        <v/>
      </c>
      <c r="L30" s="53">
        <f>IFERROR(AVERAGE(E30,G30),"")</f>
        <v/>
      </c>
      <c r="M30" s="53">
        <f>IFERROR(AVERAGE(F30,H30),"")</f>
        <v/>
      </c>
      <c r="N30" s="95">
        <f>IF(AND(ISNUMBER(L30),ISNUMBER(M30)),L30*M30,0)</f>
        <v/>
      </c>
    </row>
    <row r="31" ht="15" customHeight="1" s="45">
      <c r="A31" s="53" t="n">
        <v>22</v>
      </c>
      <c r="B31" s="92" t="inlineStr">
        <is>
          <t>У-ИБ-22</t>
        </is>
      </c>
      <c r="C31" s="93" t="inlineStr">
        <is>
          <t>Фишинг второго фактора аутентификации</t>
        </is>
      </c>
      <c r="D31" s="92">
        <f>IF(Бланк_студента!F28="","",Бланк_студента!F28)</f>
        <v/>
      </c>
      <c r="E31" s="94" t="n"/>
      <c r="F31" s="94" t="n"/>
      <c r="G31" s="94" t="n"/>
      <c r="H31" s="94" t="n"/>
      <c r="I31" s="53">
        <f>IF(AND(ISNUMBER(E31),ISNUMBER(G31)),ABS(E31-G31),"")</f>
        <v/>
      </c>
      <c r="J31" s="53">
        <f>IF(AND(ISNUMBER(F31),ISNUMBER(H31)),ABS(F31-H31),"")</f>
        <v/>
      </c>
      <c r="K31" s="95">
        <f>IF(OR(AND(ISNUMBER(I31),I31&gt;=2),AND(ISNUMBER(J31),J31&gt;=2)),"обсудите (раунд 2)",IF(AND(ISNUMBER(I31),ISNUMBER(J31)),"согласовано",""))</f>
        <v/>
      </c>
      <c r="L31" s="53">
        <f>IFERROR(AVERAGE(E31,G31),"")</f>
        <v/>
      </c>
      <c r="M31" s="53">
        <f>IFERROR(AVERAGE(F31,H31),"")</f>
        <v/>
      </c>
      <c r="N31" s="95">
        <f>IF(AND(ISNUMBER(L31),ISNUMBER(M31)),L31*M31,0)</f>
        <v/>
      </c>
    </row>
    <row r="32" ht="15" customHeight="1" s="45">
      <c r="A32" s="53" t="n">
        <v>23</v>
      </c>
      <c r="B32" s="92" t="inlineStr">
        <is>
          <t>У-ИБ-23</t>
        </is>
      </c>
      <c r="C32" s="93" t="inlineStr">
        <is>
          <t>SIM-swap (замена SIM-карты)</t>
        </is>
      </c>
      <c r="D32" s="92">
        <f>IF(Бланк_студента!F29="","",Бланк_студента!F29)</f>
        <v/>
      </c>
      <c r="E32" s="94" t="n"/>
      <c r="F32" s="94" t="n"/>
      <c r="G32" s="94" t="n"/>
      <c r="H32" s="94" t="n"/>
      <c r="I32" s="53">
        <f>IF(AND(ISNUMBER(E32),ISNUMBER(G32)),ABS(E32-G32),"")</f>
        <v/>
      </c>
      <c r="J32" s="53">
        <f>IF(AND(ISNUMBER(F32),ISNUMBER(H32)),ABS(F32-H32),"")</f>
        <v/>
      </c>
      <c r="K32" s="95">
        <f>IF(OR(AND(ISNUMBER(I32),I32&gt;=2),AND(ISNUMBER(J32),J32&gt;=2)),"обсудите (раунд 2)",IF(AND(ISNUMBER(I32),ISNUMBER(J32)),"согласовано",""))</f>
        <v/>
      </c>
      <c r="L32" s="53">
        <f>IFERROR(AVERAGE(E32,G32),"")</f>
        <v/>
      </c>
      <c r="M32" s="53">
        <f>IFERROR(AVERAGE(F32,H32),"")</f>
        <v/>
      </c>
      <c r="N32" s="95">
        <f>IF(AND(ISNUMBER(L32),ISNUMBER(M32)),L32*M32,0)</f>
        <v/>
      </c>
    </row>
    <row r="33" ht="15" customHeight="1" s="45">
      <c r="A33" s="53" t="n">
        <v>24</v>
      </c>
      <c r="B33" s="92" t="inlineStr">
        <is>
          <t>У-ИБ-24</t>
        </is>
      </c>
      <c r="C33" s="93" t="inlineStr">
        <is>
          <t>Alert fatigue в SIEM/SOC</t>
        </is>
      </c>
      <c r="D33" s="92">
        <f>IF(Бланк_студента!F30="","",Бланк_студента!F30)</f>
        <v/>
      </c>
      <c r="E33" s="94" t="n"/>
      <c r="F33" s="94" t="n"/>
      <c r="G33" s="94" t="n"/>
      <c r="H33" s="94" t="n"/>
      <c r="I33" s="53">
        <f>IF(AND(ISNUMBER(E33),ISNUMBER(G33)),ABS(E33-G33),"")</f>
        <v/>
      </c>
      <c r="J33" s="53">
        <f>IF(AND(ISNUMBER(F33),ISNUMBER(H33)),ABS(F33-H33),"")</f>
        <v/>
      </c>
      <c r="K33" s="95">
        <f>IF(OR(AND(ISNUMBER(I33),I33&gt;=2),AND(ISNUMBER(J33),J33&gt;=2)),"обсудите (раунд 2)",IF(AND(ISNUMBER(I33),ISNUMBER(J33)),"согласовано",""))</f>
        <v/>
      </c>
      <c r="L33" s="53">
        <f>IFERROR(AVERAGE(E33,G33),"")</f>
        <v/>
      </c>
      <c r="M33" s="53">
        <f>IFERROR(AVERAGE(F33,H33),"")</f>
        <v/>
      </c>
      <c r="N33" s="95">
        <f>IF(AND(ISNUMBER(L33),ISNUMBER(M33)),L33*M33,0)</f>
        <v/>
      </c>
    </row>
    <row r="34" ht="15" customHeight="1" s="45">
      <c r="A34" s="53" t="n">
        <v>25</v>
      </c>
      <c r="B34" s="92" t="inlineStr">
        <is>
          <t>У-ИБ-25</t>
        </is>
      </c>
      <c r="C34" s="93" t="inlineStr">
        <is>
          <t>Слепые зоны логирования</t>
        </is>
      </c>
      <c r="D34" s="92">
        <f>IF(Бланк_студента!F31="","",Бланк_студента!F31)</f>
        <v/>
      </c>
      <c r="E34" s="94" t="n"/>
      <c r="F34" s="94" t="n"/>
      <c r="G34" s="94" t="n"/>
      <c r="H34" s="94" t="n"/>
      <c r="I34" s="53">
        <f>IF(AND(ISNUMBER(E34),ISNUMBER(G34)),ABS(E34-G34),"")</f>
        <v/>
      </c>
      <c r="J34" s="53">
        <f>IF(AND(ISNUMBER(F34),ISNUMBER(H34)),ABS(F34-H34),"")</f>
        <v/>
      </c>
      <c r="K34" s="95">
        <f>IF(OR(AND(ISNUMBER(I34),I34&gt;=2),AND(ISNUMBER(J34),J34&gt;=2)),"обсудите (раунд 2)",IF(AND(ISNUMBER(I34),ISNUMBER(J34)),"согласовано",""))</f>
        <v/>
      </c>
      <c r="L34" s="53">
        <f>IFERROR(AVERAGE(E34,G34),"")</f>
        <v/>
      </c>
      <c r="M34" s="53">
        <f>IFERROR(AVERAGE(F34,H34),"")</f>
        <v/>
      </c>
      <c r="N34" s="95">
        <f>IF(AND(ISNUMBER(L34),ISNUMBER(M34)),L34*M34,0)</f>
        <v/>
      </c>
    </row>
    <row r="35" ht="15" customHeight="1" s="45">
      <c r="A35" s="53" t="n">
        <v>26</v>
      </c>
      <c r="B35" s="92" t="inlineStr">
        <is>
          <t>У-ИБ-26</t>
        </is>
      </c>
      <c r="C35" s="93" t="inlineStr">
        <is>
          <t>Атака на резервные копии</t>
        </is>
      </c>
      <c r="D35" s="92">
        <f>IF(Бланк_студента!F32="","",Бланк_студента!F32)</f>
        <v/>
      </c>
      <c r="E35" s="94" t="n"/>
      <c r="F35" s="94" t="n"/>
      <c r="G35" s="94" t="n"/>
      <c r="H35" s="94" t="n"/>
      <c r="I35" s="53">
        <f>IF(AND(ISNUMBER(E35),ISNUMBER(G35)),ABS(E35-G35),"")</f>
        <v/>
      </c>
      <c r="J35" s="53">
        <f>IF(AND(ISNUMBER(F35),ISNUMBER(H35)),ABS(F35-H35),"")</f>
        <v/>
      </c>
      <c r="K35" s="95">
        <f>IF(OR(AND(ISNUMBER(I35),I35&gt;=2),AND(ISNUMBER(J35),J35&gt;=2)),"обсудите (раунд 2)",IF(AND(ISNUMBER(I35),ISNUMBER(J35)),"согласовано",""))</f>
        <v/>
      </c>
      <c r="L35" s="53">
        <f>IFERROR(AVERAGE(E35,G35),"")</f>
        <v/>
      </c>
      <c r="M35" s="53">
        <f>IFERROR(AVERAGE(F35,H35),"")</f>
        <v/>
      </c>
      <c r="N35" s="95">
        <f>IF(AND(ISNUMBER(L35),ISNUMBER(M35)),L35*M35,0)</f>
        <v/>
      </c>
    </row>
    <row r="36" ht="23.85" customHeight="1" s="45">
      <c r="A36" s="53" t="n">
        <v>27</v>
      </c>
      <c r="B36" s="92" t="inlineStr">
        <is>
          <t>У-ИБ-27</t>
        </is>
      </c>
      <c r="C36" s="93" t="inlineStr">
        <is>
          <t>Неработоспособность резервной копии при восстановлении</t>
        </is>
      </c>
      <c r="D36" s="92">
        <f>IF(Бланк_студента!F33="","",Бланк_студента!F33)</f>
        <v/>
      </c>
      <c r="E36" s="94" t="n"/>
      <c r="F36" s="94" t="n"/>
      <c r="G36" s="94" t="n"/>
      <c r="H36" s="94" t="n"/>
      <c r="I36" s="53">
        <f>IF(AND(ISNUMBER(E36),ISNUMBER(G36)),ABS(E36-G36),"")</f>
        <v/>
      </c>
      <c r="J36" s="53">
        <f>IF(AND(ISNUMBER(F36),ISNUMBER(H36)),ABS(F36-H36),"")</f>
        <v/>
      </c>
      <c r="K36" s="95">
        <f>IF(OR(AND(ISNUMBER(I36),I36&gt;=2),AND(ISNUMBER(J36),J36&gt;=2)),"обсудите (раунд 2)",IF(AND(ISNUMBER(I36),ISNUMBER(J36)),"согласовано",""))</f>
        <v/>
      </c>
      <c r="L36" s="53">
        <f>IFERROR(AVERAGE(E36,G36),"")</f>
        <v/>
      </c>
      <c r="M36" s="53">
        <f>IFERROR(AVERAGE(F36,H36),"")</f>
        <v/>
      </c>
      <c r="N36" s="95">
        <f>IF(AND(ISNUMBER(L36),ISNUMBER(M36)),L36*M36,0)</f>
        <v/>
      </c>
    </row>
    <row r="37" ht="23.85" customHeight="1" s="45">
      <c r="A37" s="53" t="n">
        <v>28</v>
      </c>
      <c r="B37" s="92" t="inlineStr">
        <is>
          <t>У-ИБ-28</t>
        </is>
      </c>
      <c r="C37" s="93" t="inlineStr">
        <is>
          <t>Компрометация или утрата ключей шифрования</t>
        </is>
      </c>
      <c r="D37" s="92">
        <f>IF(Бланк_студента!F34="","",Бланк_студента!F34)</f>
        <v/>
      </c>
      <c r="E37" s="94" t="n"/>
      <c r="F37" s="94" t="n"/>
      <c r="G37" s="94" t="n"/>
      <c r="H37" s="94" t="n"/>
      <c r="I37" s="53">
        <f>IF(AND(ISNUMBER(E37),ISNUMBER(G37)),ABS(E37-G37),"")</f>
        <v/>
      </c>
      <c r="J37" s="53">
        <f>IF(AND(ISNUMBER(F37),ISNUMBER(H37)),ABS(F37-H37),"")</f>
        <v/>
      </c>
      <c r="K37" s="95">
        <f>IF(OR(AND(ISNUMBER(I37),I37&gt;=2),AND(ISNUMBER(J37),J37&gt;=2)),"обсудите (раунд 2)",IF(AND(ISNUMBER(I37),ISNUMBER(J37)),"согласовано",""))</f>
        <v/>
      </c>
      <c r="L37" s="53">
        <f>IFERROR(AVERAGE(E37,G37),"")</f>
        <v/>
      </c>
      <c r="M37" s="53">
        <f>IFERROR(AVERAGE(F37,H37),"")</f>
        <v/>
      </c>
      <c r="N37" s="95">
        <f>IF(AND(ISNUMBER(L37),ISNUMBER(M37)),L37*M37,0)</f>
        <v/>
      </c>
    </row>
    <row r="38" ht="23.85" customHeight="1" s="45">
      <c r="A38" s="53" t="n">
        <v>29</v>
      </c>
      <c r="B38" s="92" t="inlineStr">
        <is>
          <t>У-ИБ-29</t>
        </is>
      </c>
      <c r="C38" s="93" t="inlineStr">
        <is>
          <t>Использование устаревших криптоалгоритмов</t>
        </is>
      </c>
      <c r="D38" s="92">
        <f>IF(Бланк_студента!F35="","",Бланк_студента!F35)</f>
        <v/>
      </c>
      <c r="E38" s="94" t="n"/>
      <c r="F38" s="94" t="n"/>
      <c r="G38" s="94" t="n"/>
      <c r="H38" s="94" t="n"/>
      <c r="I38" s="53">
        <f>IF(AND(ISNUMBER(E38),ISNUMBER(G38)),ABS(E38-G38),"")</f>
        <v/>
      </c>
      <c r="J38" s="53">
        <f>IF(AND(ISNUMBER(F38),ISNUMBER(H38)),ABS(F38-H38),"")</f>
        <v/>
      </c>
      <c r="K38" s="95">
        <f>IF(OR(AND(ISNUMBER(I38),I38&gt;=2),AND(ISNUMBER(J38),J38&gt;=2)),"обсудите (раунд 2)",IF(AND(ISNUMBER(I38),ISNUMBER(J38)),"согласовано",""))</f>
        <v/>
      </c>
      <c r="L38" s="53">
        <f>IFERROR(AVERAGE(E38,G38),"")</f>
        <v/>
      </c>
      <c r="M38" s="53">
        <f>IFERROR(AVERAGE(F38,H38),"")</f>
        <v/>
      </c>
      <c r="N38" s="95">
        <f>IF(AND(ISNUMBER(L38),ISNUMBER(M38)),L38*M38,0)</f>
        <v/>
      </c>
    </row>
    <row r="39" ht="15" customHeight="1" s="45">
      <c r="A39" s="53" t="n">
        <v>30</v>
      </c>
      <c r="B39" s="92" t="inlineStr">
        <is>
          <t>У-ИБ-30</t>
        </is>
      </c>
      <c r="C39" s="93" t="inlineStr">
        <is>
          <t>«Harvest now, decrypt later»</t>
        </is>
      </c>
      <c r="D39" s="92">
        <f>IF(Бланк_студента!F36="","",Бланк_студента!F36)</f>
        <v/>
      </c>
      <c r="E39" s="94" t="n"/>
      <c r="F39" s="94" t="n"/>
      <c r="G39" s="94" t="n"/>
      <c r="H39" s="94" t="n"/>
      <c r="I39" s="53">
        <f>IF(AND(ISNUMBER(E39),ISNUMBER(G39)),ABS(E39-G39),"")</f>
        <v/>
      </c>
      <c r="J39" s="53">
        <f>IF(AND(ISNUMBER(F39),ISNUMBER(H39)),ABS(F39-H39),"")</f>
        <v/>
      </c>
      <c r="K39" s="95">
        <f>IF(OR(AND(ISNUMBER(I39),I39&gt;=2),AND(ISNUMBER(J39),J39&gt;=2)),"обсудите (раунд 2)",IF(AND(ISNUMBER(I39),ISNUMBER(J39)),"согласовано",""))</f>
        <v/>
      </c>
      <c r="L39" s="53">
        <f>IFERROR(AVERAGE(E39,G39),"")</f>
        <v/>
      </c>
      <c r="M39" s="53">
        <f>IFERROR(AVERAGE(F39,H39),"")</f>
        <v/>
      </c>
      <c r="N39" s="95">
        <f>IF(AND(ISNUMBER(L39),ISNUMBER(M39)),L39*M39,0)</f>
        <v/>
      </c>
    </row>
    <row r="40" ht="23.85" customHeight="1" s="45">
      <c r="A40" s="53" t="n">
        <v>31</v>
      </c>
      <c r="B40" s="92" t="inlineStr">
        <is>
          <t>У-ЦП-01</t>
        </is>
      </c>
      <c r="C40" s="93" t="inlineStr">
        <is>
          <t>Компрометация подрядчика/поставщика услуг</t>
        </is>
      </c>
      <c r="D40" s="92">
        <f>IF(Бланк_студента!F37="","",Бланк_студента!F37)</f>
        <v/>
      </c>
      <c r="E40" s="94" t="n"/>
      <c r="F40" s="94" t="n"/>
      <c r="G40" s="94" t="n"/>
      <c r="H40" s="94" t="n"/>
      <c r="I40" s="53">
        <f>IF(AND(ISNUMBER(E40),ISNUMBER(G40)),ABS(E40-G40),"")</f>
        <v/>
      </c>
      <c r="J40" s="53">
        <f>IF(AND(ISNUMBER(F40),ISNUMBER(H40)),ABS(F40-H40),"")</f>
        <v/>
      </c>
      <c r="K40" s="95">
        <f>IF(OR(AND(ISNUMBER(I40),I40&gt;=2),AND(ISNUMBER(J40),J40&gt;=2)),"обсудите (раунд 2)",IF(AND(ISNUMBER(I40),ISNUMBER(J40)),"согласовано",""))</f>
        <v/>
      </c>
      <c r="L40" s="53">
        <f>IFERROR(AVERAGE(E40,G40),"")</f>
        <v/>
      </c>
      <c r="M40" s="53">
        <f>IFERROR(AVERAGE(F40,H40),"")</f>
        <v/>
      </c>
      <c r="N40" s="95">
        <f>IF(AND(ISNUMBER(L40),ISNUMBER(M40)),L40*M40,0)</f>
        <v/>
      </c>
    </row>
    <row r="41" ht="23.85" customHeight="1" s="45">
      <c r="A41" s="53" t="n">
        <v>32</v>
      </c>
      <c r="B41" s="92" t="inlineStr">
        <is>
          <t>У-ЦП-02</t>
        </is>
      </c>
      <c r="C41" s="93" t="inlineStr">
        <is>
          <t>Внедрение вредоносного кода через обновление ПО вендора</t>
        </is>
      </c>
      <c r="D41" s="92">
        <f>IF(Бланк_студента!F38="","",Бланк_студента!F38)</f>
        <v/>
      </c>
      <c r="E41" s="94" t="n"/>
      <c r="F41" s="94" t="n"/>
      <c r="G41" s="94" t="n"/>
      <c r="H41" s="94" t="n"/>
      <c r="I41" s="53">
        <f>IF(AND(ISNUMBER(E41),ISNUMBER(G41)),ABS(E41-G41),"")</f>
        <v/>
      </c>
      <c r="J41" s="53">
        <f>IF(AND(ISNUMBER(F41),ISNUMBER(H41)),ABS(F41-H41),"")</f>
        <v/>
      </c>
      <c r="K41" s="95">
        <f>IF(OR(AND(ISNUMBER(I41),I41&gt;=2),AND(ISNUMBER(J41),J41&gt;=2)),"обсудите (раунд 2)",IF(AND(ISNUMBER(I41),ISNUMBER(J41)),"согласовано",""))</f>
        <v/>
      </c>
      <c r="L41" s="53">
        <f>IFERROR(AVERAGE(E41,G41),"")</f>
        <v/>
      </c>
      <c r="M41" s="53">
        <f>IFERROR(AVERAGE(F41,H41),"")</f>
        <v/>
      </c>
      <c r="N41" s="95">
        <f>IF(AND(ISNUMBER(L41),ISNUMBER(M41)),L41*M41,0)</f>
        <v/>
      </c>
    </row>
    <row r="42" ht="23.85" customHeight="1" s="45">
      <c r="A42" s="53" t="n">
        <v>33</v>
      </c>
      <c r="B42" s="92" t="inlineStr">
        <is>
          <t>У-ЦП-03</t>
        </is>
      </c>
      <c r="C42" s="93" t="inlineStr">
        <is>
          <t>Компрометация учётных записей сервисных инженеров/интеграторов</t>
        </is>
      </c>
      <c r="D42" s="92">
        <f>IF(Бланк_студента!F39="","",Бланк_студента!F39)</f>
        <v/>
      </c>
      <c r="E42" s="94" t="n"/>
      <c r="F42" s="94" t="n"/>
      <c r="G42" s="94" t="n"/>
      <c r="H42" s="94" t="n"/>
      <c r="I42" s="53">
        <f>IF(AND(ISNUMBER(E42),ISNUMBER(G42)),ABS(E42-G42),"")</f>
        <v/>
      </c>
      <c r="J42" s="53">
        <f>IF(AND(ISNUMBER(F42),ISNUMBER(H42)),ABS(F42-H42),"")</f>
        <v/>
      </c>
      <c r="K42" s="95">
        <f>IF(OR(AND(ISNUMBER(I42),I42&gt;=2),AND(ISNUMBER(J42),J42&gt;=2)),"обсудите (раунд 2)",IF(AND(ISNUMBER(I42),ISNUMBER(J42)),"согласовано",""))</f>
        <v/>
      </c>
      <c r="L42" s="53">
        <f>IFERROR(AVERAGE(E42,G42),"")</f>
        <v/>
      </c>
      <c r="M42" s="53">
        <f>IFERROR(AVERAGE(F42,H42),"")</f>
        <v/>
      </c>
      <c r="N42" s="95">
        <f>IF(AND(ISNUMBER(L42),ISNUMBER(M42)),L42*M42,0)</f>
        <v/>
      </c>
    </row>
    <row r="43" ht="23.85" customHeight="1" s="45">
      <c r="A43" s="53" t="n">
        <v>34</v>
      </c>
      <c r="B43" s="92" t="inlineStr">
        <is>
          <t>У-ПЕРС-01</t>
        </is>
      </c>
      <c r="C43" s="93" t="inlineStr">
        <is>
          <t>Умышленные действия действующего сотрудника</t>
        </is>
      </c>
      <c r="D43" s="92">
        <f>IF(Бланк_студента!F40="","",Бланк_студента!F40)</f>
        <v/>
      </c>
      <c r="E43" s="94" t="n"/>
      <c r="F43" s="94" t="n"/>
      <c r="G43" s="94" t="n"/>
      <c r="H43" s="94" t="n"/>
      <c r="I43" s="53">
        <f>IF(AND(ISNUMBER(E43),ISNUMBER(G43)),ABS(E43-G43),"")</f>
        <v/>
      </c>
      <c r="J43" s="53">
        <f>IF(AND(ISNUMBER(F43),ISNUMBER(H43)),ABS(F43-H43),"")</f>
        <v/>
      </c>
      <c r="K43" s="95">
        <f>IF(OR(AND(ISNUMBER(I43),I43&gt;=2),AND(ISNUMBER(J43),J43&gt;=2)),"обсудите (раунд 2)",IF(AND(ISNUMBER(I43),ISNUMBER(J43)),"согласовано",""))</f>
        <v/>
      </c>
      <c r="L43" s="53">
        <f>IFERROR(AVERAGE(E43,G43),"")</f>
        <v/>
      </c>
      <c r="M43" s="53">
        <f>IFERROR(AVERAGE(F43,H43),"")</f>
        <v/>
      </c>
      <c r="N43" s="95">
        <f>IF(AND(ISNUMBER(L43),ISNUMBER(M43)),L43*M43,0)</f>
        <v/>
      </c>
    </row>
    <row r="44" ht="15" customHeight="1" s="45">
      <c r="A44" s="53" t="n">
        <v>35</v>
      </c>
      <c r="B44" s="92" t="inlineStr">
        <is>
          <t>У-ПЕРС-02</t>
        </is>
      </c>
      <c r="C44" s="93" t="inlineStr">
        <is>
          <t>Действия бывшего (уволенного) работника</t>
        </is>
      </c>
      <c r="D44" s="92">
        <f>IF(Бланк_студента!F41="","",Бланк_студента!F41)</f>
        <v/>
      </c>
      <c r="E44" s="94" t="n"/>
      <c r="F44" s="94" t="n"/>
      <c r="G44" s="94" t="n"/>
      <c r="H44" s="94" t="n"/>
      <c r="I44" s="53">
        <f>IF(AND(ISNUMBER(E44),ISNUMBER(G44)),ABS(E44-G44),"")</f>
        <v/>
      </c>
      <c r="J44" s="53">
        <f>IF(AND(ISNUMBER(F44),ISNUMBER(H44)),ABS(F44-H44),"")</f>
        <v/>
      </c>
      <c r="K44" s="95">
        <f>IF(OR(AND(ISNUMBER(I44),I44&gt;=2),AND(ISNUMBER(J44),J44&gt;=2)),"обсудите (раунд 2)",IF(AND(ISNUMBER(I44),ISNUMBER(J44)),"согласовано",""))</f>
        <v/>
      </c>
      <c r="L44" s="53">
        <f>IFERROR(AVERAGE(E44,G44),"")</f>
        <v/>
      </c>
      <c r="M44" s="53">
        <f>IFERROR(AVERAGE(F44,H44),"")</f>
        <v/>
      </c>
      <c r="N44" s="95">
        <f>IF(AND(ISNUMBER(L44),ISNUMBER(M44)),L44*M44,0)</f>
        <v/>
      </c>
    </row>
    <row r="45" ht="15" customHeight="1" s="45">
      <c r="A45" s="53" t="n">
        <v>36</v>
      </c>
      <c r="B45" s="92" t="inlineStr">
        <is>
          <t>У-ПЕРС-03</t>
        </is>
      </c>
      <c r="C45" s="93" t="inlineStr">
        <is>
          <t>Социальная инженерия</t>
        </is>
      </c>
      <c r="D45" s="92">
        <f>IF(Бланк_студента!F42="","",Бланк_студента!F42)</f>
        <v/>
      </c>
      <c r="E45" s="94" t="n"/>
      <c r="F45" s="94" t="n"/>
      <c r="G45" s="94" t="n"/>
      <c r="H45" s="94" t="n"/>
      <c r="I45" s="53">
        <f>IF(AND(ISNUMBER(E45),ISNUMBER(G45)),ABS(E45-G45),"")</f>
        <v/>
      </c>
      <c r="J45" s="53">
        <f>IF(AND(ISNUMBER(F45),ISNUMBER(H45)),ABS(F45-H45),"")</f>
        <v/>
      </c>
      <c r="K45" s="95">
        <f>IF(OR(AND(ISNUMBER(I45),I45&gt;=2),AND(ISNUMBER(J45),J45&gt;=2)),"обсудите (раунд 2)",IF(AND(ISNUMBER(I45),ISNUMBER(J45)),"согласовано",""))</f>
        <v/>
      </c>
      <c r="L45" s="53">
        <f>IFERROR(AVERAGE(E45,G45),"")</f>
        <v/>
      </c>
      <c r="M45" s="53">
        <f>IFERROR(AVERAGE(F45,H45),"")</f>
        <v/>
      </c>
      <c r="N45" s="95">
        <f>IF(AND(ISNUMBER(L45),ISNUMBER(M45)),L45*M45,0)</f>
        <v/>
      </c>
    </row>
    <row r="46" ht="15" customHeight="1" s="45">
      <c r="A46" s="53" t="n">
        <v>37</v>
      </c>
      <c r="B46" s="92" t="inlineStr">
        <is>
          <t>У-ПЕРС-04</t>
        </is>
      </c>
      <c r="C46" s="93" t="inlineStr">
        <is>
          <t>Ошибка персонала (человеческий фактор)</t>
        </is>
      </c>
      <c r="D46" s="92">
        <f>IF(Бланк_студента!F43="","",Бланк_студента!F43)</f>
        <v/>
      </c>
      <c r="E46" s="94" t="n"/>
      <c r="F46" s="94" t="n"/>
      <c r="G46" s="94" t="n"/>
      <c r="H46" s="94" t="n"/>
      <c r="I46" s="53">
        <f>IF(AND(ISNUMBER(E46),ISNUMBER(G46)),ABS(E46-G46),"")</f>
        <v/>
      </c>
      <c r="J46" s="53">
        <f>IF(AND(ISNUMBER(F46),ISNUMBER(H46)),ABS(F46-H46),"")</f>
        <v/>
      </c>
      <c r="K46" s="95">
        <f>IF(OR(AND(ISNUMBER(I46),I46&gt;=2),AND(ISNUMBER(J46),J46&gt;=2)),"обсудите (раунд 2)",IF(AND(ISNUMBER(I46),ISNUMBER(J46)),"согласовано",""))</f>
        <v/>
      </c>
      <c r="L46" s="53">
        <f>IFERROR(AVERAGE(E46,G46),"")</f>
        <v/>
      </c>
      <c r="M46" s="53">
        <f>IFERROR(AVERAGE(F46,H46),"")</f>
        <v/>
      </c>
      <c r="N46" s="95">
        <f>IF(AND(ISNUMBER(L46),ISNUMBER(M46)),L46*M46,0)</f>
        <v/>
      </c>
    </row>
    <row r="47" ht="23.85" customHeight="1" s="45">
      <c r="A47" s="53" t="n">
        <v>38</v>
      </c>
      <c r="B47" s="92" t="inlineStr">
        <is>
          <t>У-ПЕРС-05</t>
        </is>
      </c>
      <c r="C47" s="93" t="inlineStr">
        <is>
          <t>Несоблюдение пропускного и внутриобъектового режима</t>
        </is>
      </c>
      <c r="D47" s="92">
        <f>IF(Бланк_студента!F44="","",Бланк_студента!F44)</f>
        <v/>
      </c>
      <c r="E47" s="94" t="n"/>
      <c r="F47" s="94" t="n"/>
      <c r="G47" s="94" t="n"/>
      <c r="H47" s="94" t="n"/>
      <c r="I47" s="53">
        <f>IF(AND(ISNUMBER(E47),ISNUMBER(G47)),ABS(E47-G47),"")</f>
        <v/>
      </c>
      <c r="J47" s="53">
        <f>IF(AND(ISNUMBER(F47),ISNUMBER(H47)),ABS(F47-H47),"")</f>
        <v/>
      </c>
      <c r="K47" s="95">
        <f>IF(OR(AND(ISNUMBER(I47),I47&gt;=2),AND(ISNUMBER(J47),J47&gt;=2)),"обсудите (раунд 2)",IF(AND(ISNUMBER(I47),ISNUMBER(J47)),"согласовано",""))</f>
        <v/>
      </c>
      <c r="L47" s="53">
        <f>IFERROR(AVERAGE(E47,G47),"")</f>
        <v/>
      </c>
      <c r="M47" s="53">
        <f>IFERROR(AVERAGE(F47,H47),"")</f>
        <v/>
      </c>
      <c r="N47" s="95">
        <f>IF(AND(ISNUMBER(L47),ISNUMBER(M47)),L47*M47,0)</f>
        <v/>
      </c>
    </row>
    <row r="48" ht="15" customHeight="1" s="45">
      <c r="A48" s="53" t="n">
        <v>39</v>
      </c>
      <c r="B48" s="92" t="inlineStr">
        <is>
          <t>У-ПЕРС-06</t>
        </is>
      </c>
      <c r="C48" s="93" t="inlineStr">
        <is>
          <t>Сговор персонала с внешним нарушителем</t>
        </is>
      </c>
      <c r="D48" s="92">
        <f>IF(Бланк_студента!F45="","",Бланк_студента!F45)</f>
        <v/>
      </c>
      <c r="E48" s="94" t="n"/>
      <c r="F48" s="94" t="n"/>
      <c r="G48" s="94" t="n"/>
      <c r="H48" s="94" t="n"/>
      <c r="I48" s="53">
        <f>IF(AND(ISNUMBER(E48),ISNUMBER(G48)),ABS(E48-G48),"")</f>
        <v/>
      </c>
      <c r="J48" s="53">
        <f>IF(AND(ISNUMBER(F48),ISNUMBER(H48)),ABS(F48-H48),"")</f>
        <v/>
      </c>
      <c r="K48" s="95">
        <f>IF(OR(AND(ISNUMBER(I48),I48&gt;=2),AND(ISNUMBER(J48),J48&gt;=2)),"обсудите (раунд 2)",IF(AND(ISNUMBER(I48),ISNUMBER(J48)),"согласовано",""))</f>
        <v/>
      </c>
      <c r="L48" s="53">
        <f>IFERROR(AVERAGE(E48,G48),"")</f>
        <v/>
      </c>
      <c r="M48" s="53">
        <f>IFERROR(AVERAGE(F48,H48),"")</f>
        <v/>
      </c>
      <c r="N48" s="95">
        <f>IF(AND(ISNUMBER(L48),ISNUMBER(M48)),L48*M48,0)</f>
        <v/>
      </c>
    </row>
    <row r="49" ht="23.85" customHeight="1" s="45">
      <c r="A49" s="53" t="n">
        <v>40</v>
      </c>
      <c r="B49" s="92" t="inlineStr">
        <is>
          <t>У-ФИЗ-01</t>
        </is>
      </c>
      <c r="C49" s="93" t="inlineStr">
        <is>
          <t>Кража (хищение) имущества, оборудования, носителей</t>
        </is>
      </c>
      <c r="D49" s="92">
        <f>IF(Бланк_студента!F46="","",Бланк_студента!F46)</f>
        <v/>
      </c>
      <c r="E49" s="94" t="n"/>
      <c r="F49" s="94" t="n"/>
      <c r="G49" s="94" t="n"/>
      <c r="H49" s="94" t="n"/>
      <c r="I49" s="53">
        <f>IF(AND(ISNUMBER(E49),ISNUMBER(G49)),ABS(E49-G49),"")</f>
        <v/>
      </c>
      <c r="J49" s="53">
        <f>IF(AND(ISNUMBER(F49),ISNUMBER(H49)),ABS(F49-H49),"")</f>
        <v/>
      </c>
      <c r="K49" s="95">
        <f>IF(OR(AND(ISNUMBER(I49),I49&gt;=2),AND(ISNUMBER(J49),J49&gt;=2)),"обсудите (раунд 2)",IF(AND(ISNUMBER(I49),ISNUMBER(J49)),"согласовано",""))</f>
        <v/>
      </c>
      <c r="L49" s="53">
        <f>IFERROR(AVERAGE(E49,G49),"")</f>
        <v/>
      </c>
      <c r="M49" s="53">
        <f>IFERROR(AVERAGE(F49,H49),"")</f>
        <v/>
      </c>
      <c r="N49" s="95">
        <f>IF(AND(ISNUMBER(L49),ISNUMBER(M49)),L49*M49,0)</f>
        <v/>
      </c>
    </row>
    <row r="50" ht="23.85" customHeight="1" s="45">
      <c r="A50" s="53" t="n">
        <v>41</v>
      </c>
      <c r="B50" s="92" t="inlineStr">
        <is>
          <t>У-ФИЗ-02</t>
        </is>
      </c>
      <c r="C50" s="93" t="inlineStr">
        <is>
          <t>Взлом дверей, окон, ограждения периметра</t>
        </is>
      </c>
      <c r="D50" s="92">
        <f>IF(Бланк_студента!F47="","",Бланк_студента!F47)</f>
        <v/>
      </c>
      <c r="E50" s="94" t="n"/>
      <c r="F50" s="94" t="n"/>
      <c r="G50" s="94" t="n"/>
      <c r="H50" s="94" t="n"/>
      <c r="I50" s="53">
        <f>IF(AND(ISNUMBER(E50),ISNUMBER(G50)),ABS(E50-G50),"")</f>
        <v/>
      </c>
      <c r="J50" s="53">
        <f>IF(AND(ISNUMBER(F50),ISNUMBER(H50)),ABS(F50-H50),"")</f>
        <v/>
      </c>
      <c r="K50" s="95">
        <f>IF(OR(AND(ISNUMBER(I50),I50&gt;=2),AND(ISNUMBER(J50),J50&gt;=2)),"обсудите (раунд 2)",IF(AND(ISNUMBER(I50),ISNUMBER(J50)),"согласовано",""))</f>
        <v/>
      </c>
      <c r="L50" s="53">
        <f>IFERROR(AVERAGE(E50,G50),"")</f>
        <v/>
      </c>
      <c r="M50" s="53">
        <f>IFERROR(AVERAGE(F50,H50),"")</f>
        <v/>
      </c>
      <c r="N50" s="95">
        <f>IF(AND(ISNUMBER(L50),ISNUMBER(M50)),L50*M50,0)</f>
        <v/>
      </c>
    </row>
    <row r="51" ht="35.05" customHeight="1" s="45">
      <c r="A51" s="53" t="n">
        <v>42</v>
      </c>
      <c r="B51" s="92" t="inlineStr">
        <is>
          <t>У-ФИЗ-03</t>
        </is>
      </c>
      <c r="C51" s="93" t="inlineStr">
        <is>
          <t>Проникновение через технологические/слабозащищённые проёмы</t>
        </is>
      </c>
      <c r="D51" s="92">
        <f>IF(Бланк_студента!F48="","",Бланк_студента!F48)</f>
        <v/>
      </c>
      <c r="E51" s="94" t="n"/>
      <c r="F51" s="94" t="n"/>
      <c r="G51" s="94" t="n"/>
      <c r="H51" s="94" t="n"/>
      <c r="I51" s="53">
        <f>IF(AND(ISNUMBER(E51),ISNUMBER(G51)),ABS(E51-G51),"")</f>
        <v/>
      </c>
      <c r="J51" s="53">
        <f>IF(AND(ISNUMBER(F51),ISNUMBER(H51)),ABS(F51-H51),"")</f>
        <v/>
      </c>
      <c r="K51" s="95">
        <f>IF(OR(AND(ISNUMBER(I51),I51&gt;=2),AND(ISNUMBER(J51),J51&gt;=2)),"обсудите (раунд 2)",IF(AND(ISNUMBER(I51),ISNUMBER(J51)),"согласовано",""))</f>
        <v/>
      </c>
      <c r="L51" s="53">
        <f>IFERROR(AVERAGE(E51,G51),"")</f>
        <v/>
      </c>
      <c r="M51" s="53">
        <f>IFERROR(AVERAGE(F51,H51),"")</f>
        <v/>
      </c>
      <c r="N51" s="95">
        <f>IF(AND(ISNUMBER(L51),ISNUMBER(M51)),L51*M51,0)</f>
        <v/>
      </c>
    </row>
    <row r="52" ht="15" customHeight="1" s="45">
      <c r="A52" s="53" t="n">
        <v>43</v>
      </c>
      <c r="B52" s="92" t="inlineStr">
        <is>
          <t>У-ФИЗ-04</t>
        </is>
      </c>
      <c r="C52" s="93" t="inlineStr">
        <is>
          <t>Вандализм, умышленная порча имущества</t>
        </is>
      </c>
      <c r="D52" s="92">
        <f>IF(Бланк_студента!F49="","",Бланк_студента!F49)</f>
        <v/>
      </c>
      <c r="E52" s="94" t="n"/>
      <c r="F52" s="94" t="n"/>
      <c r="G52" s="94" t="n"/>
      <c r="H52" s="94" t="n"/>
      <c r="I52" s="53">
        <f>IF(AND(ISNUMBER(E52),ISNUMBER(G52)),ABS(E52-G52),"")</f>
        <v/>
      </c>
      <c r="J52" s="53">
        <f>IF(AND(ISNUMBER(F52),ISNUMBER(H52)),ABS(F52-H52),"")</f>
        <v/>
      </c>
      <c r="K52" s="95">
        <f>IF(OR(AND(ISNUMBER(I52),I52&gt;=2),AND(ISNUMBER(J52),J52&gt;=2)),"обсудите (раунд 2)",IF(AND(ISNUMBER(I52),ISNUMBER(J52)),"согласовано",""))</f>
        <v/>
      </c>
      <c r="L52" s="53">
        <f>IFERROR(AVERAGE(E52,G52),"")</f>
        <v/>
      </c>
      <c r="M52" s="53">
        <f>IFERROR(AVERAGE(F52,H52),"")</f>
        <v/>
      </c>
      <c r="N52" s="95">
        <f>IF(AND(ISNUMBER(L52),ISNUMBER(M52)),L52*M52,0)</f>
        <v/>
      </c>
    </row>
    <row r="53" ht="15" customHeight="1" s="45">
      <c r="A53" s="53" t="n">
        <v>44</v>
      </c>
      <c r="B53" s="92" t="inlineStr">
        <is>
          <t>У-ФИЗ-05</t>
        </is>
      </c>
      <c r="C53" s="93" t="inlineStr">
        <is>
          <t>Умышленный поджог</t>
        </is>
      </c>
      <c r="D53" s="92">
        <f>IF(Бланк_студента!F50="","",Бланк_студента!F50)</f>
        <v/>
      </c>
      <c r="E53" s="94" t="n"/>
      <c r="F53" s="94" t="n"/>
      <c r="G53" s="94" t="n"/>
      <c r="H53" s="94" t="n"/>
      <c r="I53" s="53">
        <f>IF(AND(ISNUMBER(E53),ISNUMBER(G53)),ABS(E53-G53),"")</f>
        <v/>
      </c>
      <c r="J53" s="53">
        <f>IF(AND(ISNUMBER(F53),ISNUMBER(H53)),ABS(F53-H53),"")</f>
        <v/>
      </c>
      <c r="K53" s="95">
        <f>IF(OR(AND(ISNUMBER(I53),I53&gt;=2),AND(ISNUMBER(J53),J53&gt;=2)),"обсудите (раунд 2)",IF(AND(ISNUMBER(I53),ISNUMBER(J53)),"согласовано",""))</f>
        <v/>
      </c>
      <c r="L53" s="53">
        <f>IFERROR(AVERAGE(E53,G53),"")</f>
        <v/>
      </c>
      <c r="M53" s="53">
        <f>IFERROR(AVERAGE(F53,H53),"")</f>
        <v/>
      </c>
      <c r="N53" s="95">
        <f>IF(AND(ISNUMBER(L53),ISNUMBER(M53)),L53*M53,0)</f>
        <v/>
      </c>
    </row>
    <row r="54" ht="23.85" customHeight="1" s="45">
      <c r="A54" s="53" t="n">
        <v>45</v>
      </c>
      <c r="B54" s="92" t="inlineStr">
        <is>
          <t>У-ФИЗ-06</t>
        </is>
      </c>
      <c r="C54" s="93" t="inlineStr">
        <is>
          <t>Повреждение или хищение кабельных линий связи/электропитания</t>
        </is>
      </c>
      <c r="D54" s="92">
        <f>IF(Бланк_студента!F51="","",Бланк_студента!F51)</f>
        <v/>
      </c>
      <c r="E54" s="94" t="n"/>
      <c r="F54" s="94" t="n"/>
      <c r="G54" s="94" t="n"/>
      <c r="H54" s="94" t="n"/>
      <c r="I54" s="53">
        <f>IF(AND(ISNUMBER(E54),ISNUMBER(G54)),ABS(E54-G54),"")</f>
        <v/>
      </c>
      <c r="J54" s="53">
        <f>IF(AND(ISNUMBER(F54),ISNUMBER(H54)),ABS(F54-H54),"")</f>
        <v/>
      </c>
      <c r="K54" s="95">
        <f>IF(OR(AND(ISNUMBER(I54),I54&gt;=2),AND(ISNUMBER(J54),J54&gt;=2)),"обсудите (раунд 2)",IF(AND(ISNUMBER(I54),ISNUMBER(J54)),"согласовано",""))</f>
        <v/>
      </c>
      <c r="L54" s="53">
        <f>IFERROR(AVERAGE(E54,G54),"")</f>
        <v/>
      </c>
      <c r="M54" s="53">
        <f>IFERROR(AVERAGE(F54,H54),"")</f>
        <v/>
      </c>
      <c r="N54" s="95">
        <f>IF(AND(ISNUMBER(L54),ISNUMBER(M54)),L54*M54,0)</f>
        <v/>
      </c>
    </row>
    <row r="55" ht="15" customHeight="1" s="45">
      <c r="A55" s="53" t="n">
        <v>46</v>
      </c>
      <c r="B55" s="92" t="inlineStr">
        <is>
          <t>У-ТЕР-01</t>
        </is>
      </c>
      <c r="C55" s="93" t="inlineStr">
        <is>
          <t>Вооружённое нападение на объект</t>
        </is>
      </c>
      <c r="D55" s="92">
        <f>IF(Бланк_студента!F52="","",Бланк_студента!F52)</f>
        <v/>
      </c>
      <c r="E55" s="94" t="n"/>
      <c r="F55" s="94" t="n"/>
      <c r="G55" s="94" t="n"/>
      <c r="H55" s="94" t="n"/>
      <c r="I55" s="53">
        <f>IF(AND(ISNUMBER(E55),ISNUMBER(G55)),ABS(E55-G55),"")</f>
        <v/>
      </c>
      <c r="J55" s="53">
        <f>IF(AND(ISNUMBER(F55),ISNUMBER(H55)),ABS(F55-H55),"")</f>
        <v/>
      </c>
      <c r="K55" s="95">
        <f>IF(OR(AND(ISNUMBER(I55),I55&gt;=2),AND(ISNUMBER(J55),J55&gt;=2)),"обсудите (раунд 2)",IF(AND(ISNUMBER(I55),ISNUMBER(J55)),"согласовано",""))</f>
        <v/>
      </c>
      <c r="L55" s="53">
        <f>IFERROR(AVERAGE(E55,G55),"")</f>
        <v/>
      </c>
      <c r="M55" s="53">
        <f>IFERROR(AVERAGE(F55,H55),"")</f>
        <v/>
      </c>
      <c r="N55" s="95">
        <f>IF(AND(ISNUMBER(L55),ISNUMBER(M55)),L55*M55,0)</f>
        <v/>
      </c>
    </row>
    <row r="56" ht="15" customHeight="1" s="45">
      <c r="A56" s="53" t="n">
        <v>47</v>
      </c>
      <c r="B56" s="92" t="inlineStr">
        <is>
          <t>У-ТЕР-02</t>
        </is>
      </c>
      <c r="C56" s="93" t="inlineStr">
        <is>
          <t>Угроза размещения взрывного устройства</t>
        </is>
      </c>
      <c r="D56" s="92">
        <f>IF(Бланк_студента!F53="","",Бланк_студента!F53)</f>
        <v/>
      </c>
      <c r="E56" s="94" t="n"/>
      <c r="F56" s="94" t="n"/>
      <c r="G56" s="94" t="n"/>
      <c r="H56" s="94" t="n"/>
      <c r="I56" s="53">
        <f>IF(AND(ISNUMBER(E56),ISNUMBER(G56)),ABS(E56-G56),"")</f>
        <v/>
      </c>
      <c r="J56" s="53">
        <f>IF(AND(ISNUMBER(F56),ISNUMBER(H56)),ABS(F56-H56),"")</f>
        <v/>
      </c>
      <c r="K56" s="95">
        <f>IF(OR(AND(ISNUMBER(I56),I56&gt;=2),AND(ISNUMBER(J56),J56&gt;=2)),"обсудите (раунд 2)",IF(AND(ISNUMBER(I56),ISNUMBER(J56)),"согласовано",""))</f>
        <v/>
      </c>
      <c r="L56" s="53">
        <f>IFERROR(AVERAGE(E56,G56),"")</f>
        <v/>
      </c>
      <c r="M56" s="53">
        <f>IFERROR(AVERAGE(F56,H56),"")</f>
        <v/>
      </c>
      <c r="N56" s="95">
        <f>IF(AND(ISNUMBER(L56),ISNUMBER(M56)),L56*M56,0)</f>
        <v/>
      </c>
    </row>
    <row r="57" ht="15" customHeight="1" s="45">
      <c r="A57" s="53" t="n">
        <v>48</v>
      </c>
      <c r="B57" s="92" t="inlineStr">
        <is>
          <t>У-ТЕР-03</t>
        </is>
      </c>
      <c r="C57" s="93" t="inlineStr">
        <is>
          <t>Захват заложников</t>
        </is>
      </c>
      <c r="D57" s="92">
        <f>IF(Бланк_студента!F54="","",Бланк_студента!F54)</f>
        <v/>
      </c>
      <c r="E57" s="94" t="n"/>
      <c r="F57" s="94" t="n"/>
      <c r="G57" s="94" t="n"/>
      <c r="H57" s="94" t="n"/>
      <c r="I57" s="53">
        <f>IF(AND(ISNUMBER(E57),ISNUMBER(G57)),ABS(E57-G57),"")</f>
        <v/>
      </c>
      <c r="J57" s="53">
        <f>IF(AND(ISNUMBER(F57),ISNUMBER(H57)),ABS(F57-H57),"")</f>
        <v/>
      </c>
      <c r="K57" s="95">
        <f>IF(OR(AND(ISNUMBER(I57),I57&gt;=2),AND(ISNUMBER(J57),J57&gt;=2)),"обсудите (раунд 2)",IF(AND(ISNUMBER(I57),ISNUMBER(J57)),"согласовано",""))</f>
        <v/>
      </c>
      <c r="L57" s="53">
        <f>IFERROR(AVERAGE(E57,G57),"")</f>
        <v/>
      </c>
      <c r="M57" s="53">
        <f>IFERROR(AVERAGE(F57,H57),"")</f>
        <v/>
      </c>
      <c r="N57" s="95">
        <f>IF(AND(ISNUMBER(L57),ISNUMBER(M57)),L57*M57,0)</f>
        <v/>
      </c>
    </row>
    <row r="58" ht="23.85" customHeight="1" s="45">
      <c r="A58" s="53" t="n">
        <v>49</v>
      </c>
      <c r="B58" s="92" t="inlineStr">
        <is>
          <t>У-ТЕР-04</t>
        </is>
      </c>
      <c r="C58" s="93" t="inlineStr">
        <is>
          <t>Пронос токсичных, отравляющих, биологических агентов</t>
        </is>
      </c>
      <c r="D58" s="92">
        <f>IF(Бланк_студента!F55="","",Бланк_студента!F55)</f>
        <v/>
      </c>
      <c r="E58" s="94" t="n"/>
      <c r="F58" s="94" t="n"/>
      <c r="G58" s="94" t="n"/>
      <c r="H58" s="94" t="n"/>
      <c r="I58" s="53">
        <f>IF(AND(ISNUMBER(E58),ISNUMBER(G58)),ABS(E58-G58),"")</f>
        <v/>
      </c>
      <c r="J58" s="53">
        <f>IF(AND(ISNUMBER(F58),ISNUMBER(H58)),ABS(F58-H58),"")</f>
        <v/>
      </c>
      <c r="K58" s="95">
        <f>IF(OR(AND(ISNUMBER(I58),I58&gt;=2),AND(ISNUMBER(J58),J58&gt;=2)),"обсудите (раунд 2)",IF(AND(ISNUMBER(I58),ISNUMBER(J58)),"согласовано",""))</f>
        <v/>
      </c>
      <c r="L58" s="53">
        <f>IFERROR(AVERAGE(E58,G58),"")</f>
        <v/>
      </c>
      <c r="M58" s="53">
        <f>IFERROR(AVERAGE(F58,H58),"")</f>
        <v/>
      </c>
      <c r="N58" s="95">
        <f>IF(AND(ISNUMBER(L58),ISNUMBER(M58)),L58*M58,0)</f>
        <v/>
      </c>
    </row>
    <row r="59" ht="23.85" customHeight="1" s="45">
      <c r="A59" s="53" t="n">
        <v>50</v>
      </c>
      <c r="B59" s="92" t="inlineStr">
        <is>
          <t>У-ТЕР-05</t>
        </is>
      </c>
      <c r="C59" s="93" t="inlineStr">
        <is>
          <t>Массовые беспорядки на прилегающей территории</t>
        </is>
      </c>
      <c r="D59" s="92">
        <f>IF(Бланк_студента!F56="","",Бланк_студента!F56)</f>
        <v/>
      </c>
      <c r="E59" s="94" t="n"/>
      <c r="F59" s="94" t="n"/>
      <c r="G59" s="94" t="n"/>
      <c r="H59" s="94" t="n"/>
      <c r="I59" s="53">
        <f>IF(AND(ISNUMBER(E59),ISNUMBER(G59)),ABS(E59-G59),"")</f>
        <v/>
      </c>
      <c r="J59" s="53">
        <f>IF(AND(ISNUMBER(F59),ISNUMBER(H59)),ABS(F59-H59),"")</f>
        <v/>
      </c>
      <c r="K59" s="95">
        <f>IF(OR(AND(ISNUMBER(I59),I59&gt;=2),AND(ISNUMBER(J59),J59&gt;=2)),"обсудите (раунд 2)",IF(AND(ISNUMBER(I59),ISNUMBER(J59)),"согласовано",""))</f>
        <v/>
      </c>
      <c r="L59" s="53">
        <f>IFERROR(AVERAGE(E59,G59),"")</f>
        <v/>
      </c>
      <c r="M59" s="53">
        <f>IFERROR(AVERAGE(F59,H59),"")</f>
        <v/>
      </c>
      <c r="N59" s="95">
        <f>IF(AND(ISNUMBER(L59),ISNUMBER(M59)),L59*M59,0)</f>
        <v/>
      </c>
    </row>
    <row r="60" ht="23.85" customHeight="1" s="45">
      <c r="A60" s="53" t="n">
        <v>51</v>
      </c>
      <c r="B60" s="92" t="inlineStr">
        <is>
          <t>У-ТЕР-06</t>
        </is>
      </c>
      <c r="C60" s="93" t="inlineStr">
        <is>
          <t>Заведомо ложное сообщение об акте терроризма</t>
        </is>
      </c>
      <c r="D60" s="92">
        <f>IF(Бланк_студента!F57="","",Бланк_студента!F57)</f>
        <v/>
      </c>
      <c r="E60" s="94" t="n"/>
      <c r="F60" s="94" t="n"/>
      <c r="G60" s="94" t="n"/>
      <c r="H60" s="94" t="n"/>
      <c r="I60" s="53">
        <f>IF(AND(ISNUMBER(E60),ISNUMBER(G60)),ABS(E60-G60),"")</f>
        <v/>
      </c>
      <c r="J60" s="53">
        <f>IF(AND(ISNUMBER(F60),ISNUMBER(H60)),ABS(F60-H60),"")</f>
        <v/>
      </c>
      <c r="K60" s="95">
        <f>IF(OR(AND(ISNUMBER(I60),I60&gt;=2),AND(ISNUMBER(J60),J60&gt;=2)),"обсудите (раунд 2)",IF(AND(ISNUMBER(I60),ISNUMBER(J60)),"согласовано",""))</f>
        <v/>
      </c>
      <c r="L60" s="53">
        <f>IFERROR(AVERAGE(E60,G60),"")</f>
        <v/>
      </c>
      <c r="M60" s="53">
        <f>IFERROR(AVERAGE(F60,H60),"")</f>
        <v/>
      </c>
      <c r="N60" s="95">
        <f>IF(AND(ISNUMBER(L60),ISNUMBER(M60)),L60*M60,0)</f>
        <v/>
      </c>
    </row>
    <row r="61" ht="23.85" customHeight="1" s="45">
      <c r="A61" s="53" t="n">
        <v>52</v>
      </c>
      <c r="B61" s="92" t="inlineStr">
        <is>
          <t>У-ПРИР-01</t>
        </is>
      </c>
      <c r="C61" s="93" t="inlineStr">
        <is>
          <t>Пожар вследствие неисправности проводки/оборудования</t>
        </is>
      </c>
      <c r="D61" s="92">
        <f>IF(Бланк_студента!F58="","",Бланк_студента!F58)</f>
        <v/>
      </c>
      <c r="E61" s="94" t="n"/>
      <c r="F61" s="94" t="n"/>
      <c r="G61" s="94" t="n"/>
      <c r="H61" s="94" t="n"/>
      <c r="I61" s="53">
        <f>IF(AND(ISNUMBER(E61),ISNUMBER(G61)),ABS(E61-G61),"")</f>
        <v/>
      </c>
      <c r="J61" s="53">
        <f>IF(AND(ISNUMBER(F61),ISNUMBER(H61)),ABS(F61-H61),"")</f>
        <v/>
      </c>
      <c r="K61" s="95">
        <f>IF(OR(AND(ISNUMBER(I61),I61&gt;=2),AND(ISNUMBER(J61),J61&gt;=2)),"обсудите (раунд 2)",IF(AND(ISNUMBER(I61),ISNUMBER(J61)),"согласовано",""))</f>
        <v/>
      </c>
      <c r="L61" s="53">
        <f>IFERROR(AVERAGE(E61,G61),"")</f>
        <v/>
      </c>
      <c r="M61" s="53">
        <f>IFERROR(AVERAGE(F61,H61),"")</f>
        <v/>
      </c>
      <c r="N61" s="95">
        <f>IF(AND(ISNUMBER(L61),ISNUMBER(M61)),L61*M61,0)</f>
        <v/>
      </c>
    </row>
    <row r="62" ht="23.85" customHeight="1" s="45">
      <c r="A62" s="53" t="n">
        <v>53</v>
      </c>
      <c r="B62" s="92" t="inlineStr">
        <is>
          <t>У-ПРИР-02</t>
        </is>
      </c>
      <c r="C62" s="93" t="inlineStr">
        <is>
          <t>Затопление (протечка, прорыв водопровода/канализации)</t>
        </is>
      </c>
      <c r="D62" s="92">
        <f>IF(Бланк_студента!F59="","",Бланк_студента!F59)</f>
        <v/>
      </c>
      <c r="E62" s="94" t="n"/>
      <c r="F62" s="94" t="n"/>
      <c r="G62" s="94" t="n"/>
      <c r="H62" s="94" t="n"/>
      <c r="I62" s="53">
        <f>IF(AND(ISNUMBER(E62),ISNUMBER(G62)),ABS(E62-G62),"")</f>
        <v/>
      </c>
      <c r="J62" s="53">
        <f>IF(AND(ISNUMBER(F62),ISNUMBER(H62)),ABS(F62-H62),"")</f>
        <v/>
      </c>
      <c r="K62" s="95">
        <f>IF(OR(AND(ISNUMBER(I62),I62&gt;=2),AND(ISNUMBER(J62),J62&gt;=2)),"обсудите (раунд 2)",IF(AND(ISNUMBER(I62),ISNUMBER(J62)),"согласовано",""))</f>
        <v/>
      </c>
      <c r="L62" s="53">
        <f>IFERROR(AVERAGE(E62,G62),"")</f>
        <v/>
      </c>
      <c r="M62" s="53">
        <f>IFERROR(AVERAGE(F62,H62),"")</f>
        <v/>
      </c>
      <c r="N62" s="95">
        <f>IF(AND(ISNUMBER(L62),ISNUMBER(M62)),L62*M62,0)</f>
        <v/>
      </c>
    </row>
    <row r="63" ht="15" customHeight="1" s="45">
      <c r="A63" s="53" t="n">
        <v>54</v>
      </c>
      <c r="B63" s="92" t="inlineStr">
        <is>
          <t>У-ПРИР-03</t>
        </is>
      </c>
      <c r="C63" s="93" t="inlineStr">
        <is>
          <t>Аварийное отключение электроснабжения</t>
        </is>
      </c>
      <c r="D63" s="92">
        <f>IF(Бланк_студента!F60="","",Бланк_студента!F60)</f>
        <v/>
      </c>
      <c r="E63" s="94" t="n"/>
      <c r="F63" s="94" t="n"/>
      <c r="G63" s="94" t="n"/>
      <c r="H63" s="94" t="n"/>
      <c r="I63" s="53">
        <f>IF(AND(ISNUMBER(E63),ISNUMBER(G63)),ABS(E63-G63),"")</f>
        <v/>
      </c>
      <c r="J63" s="53">
        <f>IF(AND(ISNUMBER(F63),ISNUMBER(H63)),ABS(F63-H63),"")</f>
        <v/>
      </c>
      <c r="K63" s="95">
        <f>IF(OR(AND(ISNUMBER(I63),I63&gt;=2),AND(ISNUMBER(J63),J63&gt;=2)),"обсудите (раунд 2)",IF(AND(ISNUMBER(I63),ISNUMBER(J63)),"согласовано",""))</f>
        <v/>
      </c>
      <c r="L63" s="53">
        <f>IFERROR(AVERAGE(E63,G63),"")</f>
        <v/>
      </c>
      <c r="M63" s="53">
        <f>IFERROR(AVERAGE(F63,H63),"")</f>
        <v/>
      </c>
      <c r="N63" s="95">
        <f>IF(AND(ISNUMBER(L63),ISNUMBER(M63)),L63*M63,0)</f>
        <v/>
      </c>
    </row>
    <row r="64" ht="23.85" customHeight="1" s="45">
      <c r="A64" s="53" t="n">
        <v>55</v>
      </c>
      <c r="B64" s="92" t="inlineStr">
        <is>
          <t>У-ПРИР-04</t>
        </is>
      </c>
      <c r="C64" s="93" t="inlineStr">
        <is>
          <t>Стихийное бедствие (ураган, паводок, землетрясение)</t>
        </is>
      </c>
      <c r="D64" s="92">
        <f>IF(Бланк_студента!F61="","",Бланк_студента!F61)</f>
        <v/>
      </c>
      <c r="E64" s="94" t="n"/>
      <c r="F64" s="94" t="n"/>
      <c r="G64" s="94" t="n"/>
      <c r="H64" s="94" t="n"/>
      <c r="I64" s="53">
        <f>IF(AND(ISNUMBER(E64),ISNUMBER(G64)),ABS(E64-G64),"")</f>
        <v/>
      </c>
      <c r="J64" s="53">
        <f>IF(AND(ISNUMBER(F64),ISNUMBER(H64)),ABS(F64-H64),"")</f>
        <v/>
      </c>
      <c r="K64" s="95">
        <f>IF(OR(AND(ISNUMBER(I64),I64&gt;=2),AND(ISNUMBER(J64),J64&gt;=2)),"обсудите (раунд 2)",IF(AND(ISNUMBER(I64),ISNUMBER(J64)),"согласовано",""))</f>
        <v/>
      </c>
      <c r="L64" s="53">
        <f>IFERROR(AVERAGE(E64,G64),"")</f>
        <v/>
      </c>
      <c r="M64" s="53">
        <f>IFERROR(AVERAGE(F64,H64),"")</f>
        <v/>
      </c>
      <c r="N64" s="95">
        <f>IF(AND(ISNUMBER(L64),ISNUMBER(M64)),L64*M64,0)</f>
        <v/>
      </c>
    </row>
    <row r="65" ht="15" customHeight="1" s="45">
      <c r="A65" s="53" t="n">
        <v>56</v>
      </c>
      <c r="B65" s="92" t="inlineStr">
        <is>
          <t>У-ПРИР-05</t>
        </is>
      </c>
      <c r="C65" s="93" t="inlineStr">
        <is>
          <t>Утечка бытового/технического газа</t>
        </is>
      </c>
      <c r="D65" s="92">
        <f>IF(Бланк_студента!F62="","",Бланк_студента!F62)</f>
        <v/>
      </c>
      <c r="E65" s="94" t="n"/>
      <c r="F65" s="94" t="n"/>
      <c r="G65" s="94" t="n"/>
      <c r="H65" s="94" t="n"/>
      <c r="I65" s="53">
        <f>IF(AND(ISNUMBER(E65),ISNUMBER(G65)),ABS(E65-G65),"")</f>
        <v/>
      </c>
      <c r="J65" s="53">
        <f>IF(AND(ISNUMBER(F65),ISNUMBER(H65)),ABS(F65-H65),"")</f>
        <v/>
      </c>
      <c r="K65" s="95">
        <f>IF(OR(AND(ISNUMBER(I65),I65&gt;=2),AND(ISNUMBER(J65),J65&gt;=2)),"обсудите (раунд 2)",IF(AND(ISNUMBER(I65),ISNUMBER(J65)),"согласовано",""))</f>
        <v/>
      </c>
      <c r="L65" s="53">
        <f>IFERROR(AVERAGE(E65,G65),"")</f>
        <v/>
      </c>
      <c r="M65" s="53">
        <f>IFERROR(AVERAGE(F65,H65),"")</f>
        <v/>
      </c>
      <c r="N65" s="95">
        <f>IF(AND(ISNUMBER(L65),ISNUMBER(M65)),L65*M65,0)</f>
        <v/>
      </c>
    </row>
    <row r="66" ht="23.85" customHeight="1" s="45">
      <c r="A66" s="53" t="n">
        <v>57</v>
      </c>
      <c r="B66" s="92" t="inlineStr">
        <is>
          <t>У-ПРИР-06</t>
        </is>
      </c>
      <c r="C66" s="93" t="inlineStr">
        <is>
          <t>Обрушение конструктивных элементов здания</t>
        </is>
      </c>
      <c r="D66" s="92">
        <f>IF(Бланк_студента!F63="","",Бланк_студента!F63)</f>
        <v/>
      </c>
      <c r="E66" s="94" t="n"/>
      <c r="F66" s="94" t="n"/>
      <c r="G66" s="94" t="n"/>
      <c r="H66" s="94" t="n"/>
      <c r="I66" s="53">
        <f>IF(AND(ISNUMBER(E66),ISNUMBER(G66)),ABS(E66-G66),"")</f>
        <v/>
      </c>
      <c r="J66" s="53">
        <f>IF(AND(ISNUMBER(F66),ISNUMBER(H66)),ABS(F66-H66),"")</f>
        <v/>
      </c>
      <c r="K66" s="95">
        <f>IF(OR(AND(ISNUMBER(I66),I66&gt;=2),AND(ISNUMBER(J66),J66&gt;=2)),"обсудите (раунд 2)",IF(AND(ISNUMBER(I66),ISNUMBER(J66)),"согласовано",""))</f>
        <v/>
      </c>
      <c r="L66" s="53">
        <f>IFERROR(AVERAGE(E66,G66),"")</f>
        <v/>
      </c>
      <c r="M66" s="53">
        <f>IFERROR(AVERAGE(F66,H66),"")</f>
        <v/>
      </c>
      <c r="N66" s="95">
        <f>IF(AND(ISNUMBER(L66),ISNUMBER(M66)),L66*M66,0)</f>
        <v/>
      </c>
    </row>
    <row r="67" ht="23.85" customHeight="1" s="45">
      <c r="A67" s="53" t="n">
        <v>58</v>
      </c>
      <c r="B67" s="92" t="inlineStr">
        <is>
          <t>У-АСУ-01</t>
        </is>
      </c>
      <c r="C67" s="93" t="inlineStr">
        <is>
          <t>Несанкционированное вмешательство в работу ПЛК/SCADA/HMI</t>
        </is>
      </c>
      <c r="D67" s="92">
        <f>IF(Бланк_студента!F64="","",Бланк_студента!F64)</f>
        <v/>
      </c>
      <c r="E67" s="94" t="n"/>
      <c r="F67" s="94" t="n"/>
      <c r="G67" s="94" t="n"/>
      <c r="H67" s="94" t="n"/>
      <c r="I67" s="53">
        <f>IF(AND(ISNUMBER(E67),ISNUMBER(G67)),ABS(E67-G67),"")</f>
        <v/>
      </c>
      <c r="J67" s="53">
        <f>IF(AND(ISNUMBER(F67),ISNUMBER(H67)),ABS(F67-H67),"")</f>
        <v/>
      </c>
      <c r="K67" s="95">
        <f>IF(OR(AND(ISNUMBER(I67),I67&gt;=2),AND(ISNUMBER(J67),J67&gt;=2)),"обсудите (раунд 2)",IF(AND(ISNUMBER(I67),ISNUMBER(J67)),"согласовано",""))</f>
        <v/>
      </c>
      <c r="L67" s="53">
        <f>IFERROR(AVERAGE(E67,G67),"")</f>
        <v/>
      </c>
      <c r="M67" s="53">
        <f>IFERROR(AVERAGE(F67,H67),"")</f>
        <v/>
      </c>
      <c r="N67" s="95">
        <f>IF(AND(ISNUMBER(L67),ISNUMBER(M67)),L67*M67,0)</f>
        <v/>
      </c>
    </row>
    <row r="68" ht="23.85" customHeight="1" s="45">
      <c r="A68" s="53" t="n">
        <v>59</v>
      </c>
      <c r="B68" s="92" t="inlineStr">
        <is>
          <t>У-АСУ-02</t>
        </is>
      </c>
      <c r="C68" s="93" t="inlineStr">
        <is>
          <t>Нарушение технологического процесса вследствие кибератаки на АСУ ТП</t>
        </is>
      </c>
      <c r="D68" s="92">
        <f>IF(Бланк_студента!F65="","",Бланк_студента!F65)</f>
        <v/>
      </c>
      <c r="E68" s="94" t="n"/>
      <c r="F68" s="94" t="n"/>
      <c r="G68" s="94" t="n"/>
      <c r="H68" s="94" t="n"/>
      <c r="I68" s="53">
        <f>IF(AND(ISNUMBER(E68),ISNUMBER(G68)),ABS(E68-G68),"")</f>
        <v/>
      </c>
      <c r="J68" s="53">
        <f>IF(AND(ISNUMBER(F68),ISNUMBER(H68)),ABS(F68-H68),"")</f>
        <v/>
      </c>
      <c r="K68" s="95">
        <f>IF(OR(AND(ISNUMBER(I68),I68&gt;=2),AND(ISNUMBER(J68),J68&gt;=2)),"обсудите (раунд 2)",IF(AND(ISNUMBER(I68),ISNUMBER(J68)),"согласовано",""))</f>
        <v/>
      </c>
      <c r="L68" s="53">
        <f>IFERROR(AVERAGE(E68,G68),"")</f>
        <v/>
      </c>
      <c r="M68" s="53">
        <f>IFERROR(AVERAGE(F68,H68),"")</f>
        <v/>
      </c>
      <c r="N68" s="95">
        <f>IF(AND(ISNUMBER(L68),ISNUMBER(M68)),L68*M68,0)</f>
        <v/>
      </c>
    </row>
    <row r="69" ht="35.05" customHeight="1" s="45">
      <c r="A69" s="53" t="n">
        <v>60</v>
      </c>
      <c r="B69" s="92" t="inlineStr">
        <is>
          <t>У-АСУ-03</t>
        </is>
      </c>
      <c r="C69" s="93" t="inlineStr">
        <is>
          <t>Физическое повреждение производственного оборудования как способ атаки</t>
        </is>
      </c>
      <c r="D69" s="92">
        <f>IF(Бланк_студента!F66="","",Бланк_студента!F66)</f>
        <v/>
      </c>
      <c r="E69" s="94" t="n"/>
      <c r="F69" s="94" t="n"/>
      <c r="G69" s="94" t="n"/>
      <c r="H69" s="94" t="n"/>
      <c r="I69" s="53">
        <f>IF(AND(ISNUMBER(E69),ISNUMBER(G69)),ABS(E69-G69),"")</f>
        <v/>
      </c>
      <c r="J69" s="53">
        <f>IF(AND(ISNUMBER(F69),ISNUMBER(H69)),ABS(F69-H69),"")</f>
        <v/>
      </c>
      <c r="K69" s="95">
        <f>IF(OR(AND(ISNUMBER(I69),I69&gt;=2),AND(ISNUMBER(J69),J69&gt;=2)),"обсудите (раунд 2)",IF(AND(ISNUMBER(I69),ISNUMBER(J69)),"согласовано",""))</f>
        <v/>
      </c>
      <c r="L69" s="53">
        <f>IFERROR(AVERAGE(E69,G69),"")</f>
        <v/>
      </c>
      <c r="M69" s="53">
        <f>IFERROR(AVERAGE(F69,H69),"")</f>
        <v/>
      </c>
      <c r="N69" s="95">
        <f>IF(AND(ISNUMBER(L69),ISNUMBER(M69)),L69*M69,0)</f>
        <v/>
      </c>
    </row>
    <row r="70" ht="23.85" customHeight="1" s="45">
      <c r="A70" s="53" t="n">
        <v>61</v>
      </c>
      <c r="B70" s="92" t="inlineStr">
        <is>
          <t>У-АСУ-04</t>
        </is>
      </c>
      <c r="C70" s="93" t="inlineStr">
        <is>
          <t>Компрометация систем удалённого мониторинга и телеметрии</t>
        </is>
      </c>
      <c r="D70" s="92">
        <f>IF(Бланк_студента!F67="","",Бланк_студента!F67)</f>
        <v/>
      </c>
      <c r="E70" s="94" t="n"/>
      <c r="F70" s="94" t="n"/>
      <c r="G70" s="94" t="n"/>
      <c r="H70" s="94" t="n"/>
      <c r="I70" s="53">
        <f>IF(AND(ISNUMBER(E70),ISNUMBER(G70)),ABS(E70-G70),"")</f>
        <v/>
      </c>
      <c r="J70" s="53">
        <f>IF(AND(ISNUMBER(F70),ISNUMBER(H70)),ABS(F70-H70),"")</f>
        <v/>
      </c>
      <c r="K70" s="95">
        <f>IF(OR(AND(ISNUMBER(I70),I70&gt;=2),AND(ISNUMBER(J70),J70&gt;=2)),"обсудите (раунд 2)",IF(AND(ISNUMBER(I70),ISNUMBER(J70)),"согласовано",""))</f>
        <v/>
      </c>
      <c r="L70" s="53">
        <f>IFERROR(AVERAGE(E70,G70),"")</f>
        <v/>
      </c>
      <c r="M70" s="53">
        <f>IFERROR(AVERAGE(F70,H70),"")</f>
        <v/>
      </c>
      <c r="N70" s="95">
        <f>IF(AND(ISNUMBER(L70),ISNUMBER(M70)),L70*M70,0)</f>
        <v/>
      </c>
    </row>
    <row r="71" ht="23.85" customHeight="1" s="45">
      <c r="A71" s="53" t="n">
        <v>62</v>
      </c>
      <c r="B71" s="92" t="inlineStr">
        <is>
          <t>У-ОРГ-01</t>
        </is>
      </c>
      <c r="C71" s="93" t="inlineStr">
        <is>
          <t>Отсутствие или устаревание политики информационной безопасности</t>
        </is>
      </c>
      <c r="D71" s="92">
        <f>IF(Бланк_студента!F68="","",Бланк_студента!F68)</f>
        <v/>
      </c>
      <c r="E71" s="94" t="n"/>
      <c r="F71" s="94" t="n"/>
      <c r="G71" s="94" t="n"/>
      <c r="H71" s="94" t="n"/>
      <c r="I71" s="53">
        <f>IF(AND(ISNUMBER(E71),ISNUMBER(G71)),ABS(E71-G71),"")</f>
        <v/>
      </c>
      <c r="J71" s="53">
        <f>IF(AND(ISNUMBER(F71),ISNUMBER(H71)),ABS(F71-H71),"")</f>
        <v/>
      </c>
      <c r="K71" s="95">
        <f>IF(OR(AND(ISNUMBER(I71),I71&gt;=2),AND(ISNUMBER(J71),J71&gt;=2)),"обсудите (раунд 2)",IF(AND(ISNUMBER(I71),ISNUMBER(J71)),"согласовано",""))</f>
        <v/>
      </c>
      <c r="L71" s="53">
        <f>IFERROR(AVERAGE(E71,G71),"")</f>
        <v/>
      </c>
      <c r="M71" s="53">
        <f>IFERROR(AVERAGE(F71,H71),"")</f>
        <v/>
      </c>
      <c r="N71" s="95">
        <f>IF(AND(ISNUMBER(L71),ISNUMBER(M71)),L71*M71,0)</f>
        <v/>
      </c>
    </row>
    <row r="72" ht="23.85" customHeight="1" s="45">
      <c r="A72" s="53" t="n">
        <v>63</v>
      </c>
      <c r="B72" s="92" t="inlineStr">
        <is>
          <t>У-ОРГ-02</t>
        </is>
      </c>
      <c r="C72" s="93" t="inlineStr">
        <is>
          <t>Формальное выполнение требований без фактического контроля</t>
        </is>
      </c>
      <c r="D72" s="92">
        <f>IF(Бланк_студента!F69="","",Бланк_студента!F69)</f>
        <v/>
      </c>
      <c r="E72" s="94" t="n"/>
      <c r="F72" s="94" t="n"/>
      <c r="G72" s="94" t="n"/>
      <c r="H72" s="94" t="n"/>
      <c r="I72" s="53">
        <f>IF(AND(ISNUMBER(E72),ISNUMBER(G72)),ABS(E72-G72),"")</f>
        <v/>
      </c>
      <c r="J72" s="53">
        <f>IF(AND(ISNUMBER(F72),ISNUMBER(H72)),ABS(F72-H72),"")</f>
        <v/>
      </c>
      <c r="K72" s="95">
        <f>IF(OR(AND(ISNUMBER(I72),I72&gt;=2),AND(ISNUMBER(J72),J72&gt;=2)),"обсудите (раунд 2)",IF(AND(ISNUMBER(I72),ISNUMBER(J72)),"согласовано",""))</f>
        <v/>
      </c>
      <c r="L72" s="53">
        <f>IFERROR(AVERAGE(E72,G72),"")</f>
        <v/>
      </c>
      <c r="M72" s="53">
        <f>IFERROR(AVERAGE(F72,H72),"")</f>
        <v/>
      </c>
      <c r="N72" s="95">
        <f>IF(AND(ISNUMBER(L72),ISNUMBER(M72)),L72*M72,0)</f>
        <v/>
      </c>
    </row>
    <row r="73" ht="23.85" customHeight="1" s="45">
      <c r="A73" s="53" t="n">
        <v>64</v>
      </c>
      <c r="B73" s="92" t="inlineStr">
        <is>
          <t>У-ОРГ-03</t>
        </is>
      </c>
      <c r="C73" s="93" t="inlineStr">
        <is>
          <t>Несвоевременное категорирование объекта КИИ или его занижение</t>
        </is>
      </c>
      <c r="D73" s="92">
        <f>IF(Бланк_студента!F70="","",Бланк_студента!F70)</f>
        <v/>
      </c>
      <c r="E73" s="94" t="n"/>
      <c r="F73" s="94" t="n"/>
      <c r="G73" s="94" t="n"/>
      <c r="H73" s="94" t="n"/>
      <c r="I73" s="53">
        <f>IF(AND(ISNUMBER(E73),ISNUMBER(G73)),ABS(E73-G73),"")</f>
        <v/>
      </c>
      <c r="J73" s="53">
        <f>IF(AND(ISNUMBER(F73),ISNUMBER(H73)),ABS(F73-H73),"")</f>
        <v/>
      </c>
      <c r="K73" s="95">
        <f>IF(OR(AND(ISNUMBER(I73),I73&gt;=2),AND(ISNUMBER(J73),J73&gt;=2)),"обсудите (раунд 2)",IF(AND(ISNUMBER(I73),ISNUMBER(J73)),"согласовано",""))</f>
        <v/>
      </c>
      <c r="L73" s="53">
        <f>IFERROR(AVERAGE(E73,G73),"")</f>
        <v/>
      </c>
      <c r="M73" s="53">
        <f>IFERROR(AVERAGE(F73,H73),"")</f>
        <v/>
      </c>
      <c r="N73" s="95">
        <f>IF(AND(ISNUMBER(L73),ISNUMBER(M73)),L73*M73,0)</f>
        <v/>
      </c>
    </row>
    <row r="74" ht="23.85" customHeight="1" s="45">
      <c r="A74" s="53" t="n">
        <v>65</v>
      </c>
      <c r="B74" s="92" t="inlineStr">
        <is>
          <t>У-ОРГ-04</t>
        </is>
      </c>
      <c r="C74" s="93" t="inlineStr">
        <is>
          <t>Обработка персональных данных без надлежащего правового основания</t>
        </is>
      </c>
      <c r="D74" s="92">
        <f>IF(Бланк_студента!F71="","",Бланк_студента!F71)</f>
        <v/>
      </c>
      <c r="E74" s="94" t="n"/>
      <c r="F74" s="94" t="n"/>
      <c r="G74" s="94" t="n"/>
      <c r="H74" s="94" t="n"/>
      <c r="I74" s="53">
        <f>IF(AND(ISNUMBER(E74),ISNUMBER(G74)),ABS(E74-G74),"")</f>
        <v/>
      </c>
      <c r="J74" s="53">
        <f>IF(AND(ISNUMBER(F74),ISNUMBER(H74)),ABS(F74-H74),"")</f>
        <v/>
      </c>
      <c r="K74" s="95">
        <f>IF(OR(AND(ISNUMBER(I74),I74&gt;=2),AND(ISNUMBER(J74),J74&gt;=2)),"обсудите (раунд 2)",IF(AND(ISNUMBER(I74),ISNUMBER(J74)),"согласовано",""))</f>
        <v/>
      </c>
      <c r="L74" s="53">
        <f>IFERROR(AVERAGE(E74,G74),"")</f>
        <v/>
      </c>
      <c r="M74" s="53">
        <f>IFERROR(AVERAGE(F74,H74),"")</f>
        <v/>
      </c>
      <c r="N74" s="95">
        <f>IF(AND(ISNUMBER(L74),ISNUMBER(M74)),L74*M74,0)</f>
        <v/>
      </c>
    </row>
    <row r="75" ht="23.85" customHeight="1" s="45">
      <c r="A75" s="53" t="n">
        <v>66</v>
      </c>
      <c r="B75" s="92" t="inlineStr">
        <is>
          <t>У-ОРГ-05</t>
        </is>
      </c>
      <c r="C75" s="93" t="inlineStr">
        <is>
          <t>Отсутствие паспорта безопасности объекта или его несоответствие категории</t>
        </is>
      </c>
      <c r="D75" s="92">
        <f>IF(Бланк_студента!F72="","",Бланк_студента!F72)</f>
        <v/>
      </c>
      <c r="E75" s="94" t="n"/>
      <c r="F75" s="94" t="n"/>
      <c r="G75" s="94" t="n"/>
      <c r="H75" s="94" t="n"/>
      <c r="I75" s="53">
        <f>IF(AND(ISNUMBER(E75),ISNUMBER(G75)),ABS(E75-G75),"")</f>
        <v/>
      </c>
      <c r="J75" s="53">
        <f>IF(AND(ISNUMBER(F75),ISNUMBER(H75)),ABS(F75-H75),"")</f>
        <v/>
      </c>
      <c r="K75" s="95">
        <f>IF(OR(AND(ISNUMBER(I75),I75&gt;=2),AND(ISNUMBER(J75),J75&gt;=2)),"обсудите (раунд 2)",IF(AND(ISNUMBER(I75),ISNUMBER(J75)),"согласовано",""))</f>
        <v/>
      </c>
      <c r="L75" s="53">
        <f>IFERROR(AVERAGE(E75,G75),"")</f>
        <v/>
      </c>
      <c r="M75" s="53">
        <f>IFERROR(AVERAGE(F75,H75),"")</f>
        <v/>
      </c>
      <c r="N75" s="95">
        <f>IF(AND(ISNUMBER(L75),ISNUMBER(M75)),L75*M75,0)</f>
        <v/>
      </c>
    </row>
    <row r="76" ht="23.85" customHeight="1" s="45">
      <c r="A76" s="53" t="n">
        <v>67</v>
      </c>
      <c r="B76" s="92" t="inlineStr">
        <is>
          <t>У-ОРГ-06</t>
        </is>
      </c>
      <c r="C76" s="93" t="inlineStr">
        <is>
          <t>Отсутствие обучения персонала действиям при угрозах</t>
        </is>
      </c>
      <c r="D76" s="92">
        <f>IF(Бланк_студента!F73="","",Бланк_студента!F73)</f>
        <v/>
      </c>
      <c r="E76" s="94" t="n"/>
      <c r="F76" s="94" t="n"/>
      <c r="G76" s="94" t="n"/>
      <c r="H76" s="94" t="n"/>
      <c r="I76" s="53">
        <f>IF(AND(ISNUMBER(E76),ISNUMBER(G76)),ABS(E76-G76),"")</f>
        <v/>
      </c>
      <c r="J76" s="53">
        <f>IF(AND(ISNUMBER(F76),ISNUMBER(H76)),ABS(F76-H76),"")</f>
        <v/>
      </c>
      <c r="K76" s="95">
        <f>IF(OR(AND(ISNUMBER(I76),I76&gt;=2),AND(ISNUMBER(J76),J76&gt;=2)),"обсудите (раунд 2)",IF(AND(ISNUMBER(I76),ISNUMBER(J76)),"согласовано",""))</f>
        <v/>
      </c>
      <c r="L76" s="53">
        <f>IFERROR(AVERAGE(E76,G76),"")</f>
        <v/>
      </c>
      <c r="M76" s="53">
        <f>IFERROR(AVERAGE(F76,H76),"")</f>
        <v/>
      </c>
      <c r="N76" s="95">
        <f>IF(AND(ISNUMBER(L76),ISNUMBER(M76)),L76*M76,0)</f>
        <v/>
      </c>
    </row>
    <row r="77" ht="23.85" customHeight="1" s="45">
      <c r="A77" s="53" t="n">
        <v>68</v>
      </c>
      <c r="B77" s="92" t="inlineStr">
        <is>
          <t>У-ОРГ-07</t>
        </is>
      </c>
      <c r="C77" s="93" t="inlineStr">
        <is>
          <t>Формальное («для галочки») прохождение обучения персоналом</t>
        </is>
      </c>
      <c r="D77" s="92">
        <f>IF(Бланк_студента!F74="","",Бланк_студента!F74)</f>
        <v/>
      </c>
      <c r="E77" s="94" t="n"/>
      <c r="F77" s="94" t="n"/>
      <c r="G77" s="94" t="n"/>
      <c r="H77" s="94" t="n"/>
      <c r="I77" s="53">
        <f>IF(AND(ISNUMBER(E77),ISNUMBER(G77)),ABS(E77-G77),"")</f>
        <v/>
      </c>
      <c r="J77" s="53">
        <f>IF(AND(ISNUMBER(F77),ISNUMBER(H77)),ABS(F77-H77),"")</f>
        <v/>
      </c>
      <c r="K77" s="95">
        <f>IF(OR(AND(ISNUMBER(I77),I77&gt;=2),AND(ISNUMBER(J77),J77&gt;=2)),"обсудите (раунд 2)",IF(AND(ISNUMBER(I77),ISNUMBER(J77)),"согласовано",""))</f>
        <v/>
      </c>
      <c r="L77" s="53">
        <f>IFERROR(AVERAGE(E77,G77),"")</f>
        <v/>
      </c>
      <c r="M77" s="53">
        <f>IFERROR(AVERAGE(F77,H77),"")</f>
        <v/>
      </c>
      <c r="N77" s="95">
        <f>IF(AND(ISNUMBER(L77),ISNUMBER(M77)),L77*M77,0)</f>
        <v/>
      </c>
    </row>
    <row r="78" ht="23.85" customHeight="1" s="45">
      <c r="A78" s="53" t="n">
        <v>69</v>
      </c>
      <c r="B78" s="92" t="inlineStr">
        <is>
          <t>У-ОРГ-08</t>
        </is>
      </c>
      <c r="C78" s="93" t="inlineStr">
        <is>
          <t>Отсутствие независимого аудита, самооценка выдаётся за проверку</t>
        </is>
      </c>
      <c r="D78" s="92">
        <f>IF(Бланк_студента!F75="","",Бланк_студента!F75)</f>
        <v/>
      </c>
      <c r="E78" s="94" t="n"/>
      <c r="F78" s="94" t="n"/>
      <c r="G78" s="94" t="n"/>
      <c r="H78" s="94" t="n"/>
      <c r="I78" s="53">
        <f>IF(AND(ISNUMBER(E78),ISNUMBER(G78)),ABS(E78-G78),"")</f>
        <v/>
      </c>
      <c r="J78" s="53">
        <f>IF(AND(ISNUMBER(F78),ISNUMBER(H78)),ABS(F78-H78),"")</f>
        <v/>
      </c>
      <c r="K78" s="95">
        <f>IF(OR(AND(ISNUMBER(I78),I78&gt;=2),AND(ISNUMBER(J78),J78&gt;=2)),"обсудите (раунд 2)",IF(AND(ISNUMBER(I78),ISNUMBER(J78)),"согласовано",""))</f>
        <v/>
      </c>
      <c r="L78" s="53">
        <f>IFERROR(AVERAGE(E78,G78),"")</f>
        <v/>
      </c>
      <c r="M78" s="53">
        <f>IFERROR(AVERAGE(F78,H78),"")</f>
        <v/>
      </c>
      <c r="N78" s="95">
        <f>IF(AND(ISNUMBER(L78),ISNUMBER(M78)),L78*M78,0)</f>
        <v/>
      </c>
    </row>
    <row r="79" ht="23.85" customHeight="1" s="45">
      <c r="A79" s="53" t="n">
        <v>70</v>
      </c>
      <c r="B79" s="92" t="inlineStr">
        <is>
          <t>У-ОРГ-09</t>
        </is>
      </c>
      <c r="C79" s="93" t="inlineStr">
        <is>
          <t>Расхождение фактической конфигурации системы с документацией</t>
        </is>
      </c>
      <c r="D79" s="92">
        <f>IF(Бланк_студента!F76="","",Бланк_студента!F76)</f>
        <v/>
      </c>
      <c r="E79" s="94" t="n"/>
      <c r="F79" s="94" t="n"/>
      <c r="G79" s="94" t="n"/>
      <c r="H79" s="94" t="n"/>
      <c r="I79" s="53">
        <f>IF(AND(ISNUMBER(E79),ISNUMBER(G79)),ABS(E79-G79),"")</f>
        <v/>
      </c>
      <c r="J79" s="53">
        <f>IF(AND(ISNUMBER(F79),ISNUMBER(H79)),ABS(F79-H79),"")</f>
        <v/>
      </c>
      <c r="K79" s="95">
        <f>IF(OR(AND(ISNUMBER(I79),I79&gt;=2),AND(ISNUMBER(J79),J79&gt;=2)),"обсудите (раунд 2)",IF(AND(ISNUMBER(I79),ISNUMBER(J79)),"согласовано",""))</f>
        <v/>
      </c>
      <c r="L79" s="53">
        <f>IFERROR(AVERAGE(E79,G79),"")</f>
        <v/>
      </c>
      <c r="M79" s="53">
        <f>IFERROR(AVERAGE(F79,H79),"")</f>
        <v/>
      </c>
      <c r="N79" s="95">
        <f>IF(AND(ISNUMBER(L79),ISNUMBER(M79)),L79*M79,0)</f>
        <v/>
      </c>
    </row>
    <row r="80">
      <c r="E80" s="68" t="n"/>
      <c r="F80" s="68" t="n"/>
      <c r="G80" s="68" t="n"/>
      <c r="H80" s="68" t="n"/>
    </row>
    <row r="81" ht="15" customHeight="1" s="45">
      <c r="C81" s="70" t="inlineStr">
        <is>
          <t>Количество отмеченных угроз:</t>
        </is>
      </c>
      <c r="E81" s="68" t="n"/>
      <c r="F81" s="70">
        <f>COUNTIF(D10:D79,"v")</f>
        <v/>
      </c>
      <c r="G81" s="68" t="n"/>
      <c r="H81" s="68" t="n"/>
    </row>
    <row r="82" ht="15" customHeight="1" s="45">
      <c r="C82" s="70" t="inlineStr">
        <is>
          <t>Суммарный балл риска (по отмеченным угрозам):</t>
        </is>
      </c>
      <c r="E82" s="68" t="n"/>
      <c r="F82" s="70">
        <f>SUMPRODUCT((D10:D79="v")*N10:N79)</f>
        <v/>
      </c>
      <c r="G82" s="68" t="n"/>
      <c r="H82" s="68" t="n"/>
    </row>
    <row r="83" ht="15" customHeight="1" s="45">
      <c r="C83" s="70" t="inlineStr">
        <is>
          <t>Средний балл риска на угрозу:</t>
        </is>
      </c>
      <c r="E83" s="68" t="n"/>
      <c r="F83" s="70">
        <f>IFERROR(F82/F81,0)</f>
        <v/>
      </c>
      <c r="G83" s="68" t="n"/>
      <c r="H83" s="68" t="n"/>
    </row>
    <row r="84" ht="15" customHeight="1" s="45">
      <c r="C84" s="96" t="inlineStr">
        <is>
          <t>Индекс риска объекта ДО проекта (0-100%):</t>
        </is>
      </c>
      <c r="E84" s="68" t="n"/>
      <c r="F84" s="97">
        <f>TEXT(F83/25*100,"0.0")&amp;"%"</f>
        <v/>
      </c>
      <c r="G84" s="68" t="n"/>
      <c r="H84" s="68" t="n"/>
    </row>
    <row r="85">
      <c r="E85" s="68" t="n"/>
      <c r="F85" s="68" t="n"/>
      <c r="G85" s="68" t="n"/>
      <c r="H85" s="68" t="n"/>
    </row>
    <row r="86" ht="15" customHeight="1" s="45">
      <c r="A86" s="88" t="inlineStr">
        <is>
          <t>Полученный индекс риска - это показатель «ДО» (аналог входного аудита ИБ в примере ПАО «Ростелеком» и показателя бюджетозащищённости МФЦ из приложенных материалов курса). После того как на листе «Рулетка_проекта» определён тип проекта ИБ и он спроектирован (веха 2), нужно скопировать этот лист, переоценить P (как правило, именно вероятность снижается после внедрения контрмер) и получить показатель «ПОСЛЕ» - снижение суммарного балла риска станет технико-экономическим обоснованием выбранного проекта, по той же логике, что и рост доходозащищённости/бюджетозащищённости в исходных методических материалах.</t>
        </is>
      </c>
      <c r="E86" s="68" t="n"/>
      <c r="F86" s="68" t="n"/>
      <c r="G86" s="68" t="n"/>
      <c r="H86" s="68" t="n"/>
    </row>
    <row r="87" ht="15" customHeight="1" s="45">
      <c r="E87" s="68" t="n"/>
      <c r="F87" s="68" t="n"/>
      <c r="G87" s="68" t="n"/>
      <c r="H87" s="68" t="n"/>
    </row>
    <row r="88" ht="15" customHeight="1" s="45">
      <c r="E88" s="68" t="n"/>
      <c r="F88" s="68" t="n"/>
      <c r="G88" s="68" t="n"/>
      <c r="H88" s="68" t="n"/>
    </row>
    <row r="89" ht="15" customHeight="1" s="45">
      <c r="E89" s="68" t="n"/>
      <c r="F89" s="68" t="n"/>
      <c r="G89" s="68" t="n"/>
      <c r="H89" s="6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F69"/>
  <mergeCells count="3">
    <mergeCell ref="A2:N4"/>
    <mergeCell ref="A86:N89"/>
    <mergeCell ref="A1:N1"/>
  </mergeCells>
  <conditionalFormatting sqref="K10:K79">
    <cfRule type="expression" rank="0" priority="2" equalAverage="0" aboveAverage="0" dxfId="1" text="" percent="0" bottom="0">
      <formula>K10="обсудите (раунд 2)"</formula>
    </cfRule>
    <cfRule type="expression" rank="0" priority="3" equalAverage="0" aboveAverage="0" dxfId="0" text="" percent="0" bottom="0">
      <formula>K10="согласовано"</formula>
    </cfRule>
  </conditionalFormatting>
  <conditionalFormatting sqref="D10:D79">
    <cfRule type="expression" rank="0" priority="4" equalAverage="0" aboveAverage="0" dxfId="2" text="" percent="0" bottom="0">
      <formula>D10="v"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2026-07-11T07:49:23Z</dcterms:created>
  <dcterms:modified xmlns:dcterms="http://purl.org/dc/terms/" xmlns:xsi="http://www.w3.org/2001/XMLSchema-instance" xsi:type="dcterms:W3CDTF">2026-07-11T10:12:39Z</dcterms:modified>
  <cp:revision>0</cp:revision>
</cp:coreProperties>
</file>