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Общие этапы (все системы)" sheetId="2" state="visible" r:id="rId4"/>
    <sheet name="СКУД" sheetId="3" state="visible" r:id="rId5"/>
    <sheet name="Видеонаблюдение" sheetId="4" state="visible" r:id="rId6"/>
    <sheet name="Пожарная сигнализация" sheetId="5" state="visible" r:id="rId7"/>
    <sheet name="Охранная сигнализация" sheetId="6" state="visible" r:id="rId8"/>
    <sheet name="Гибридные системы" sheetId="7" state="visible" r:id="rId9"/>
    <sheet name="Сводный чек-лист" sheetId="8" state="visible" r:id="rId10"/>
    <sheet name="Гантт_ИТСО (6 типов)" sheetId="9" state="visible" r:id="rId11"/>
    <sheet name="Гантт_Софт_Орг (14 типов)" sheetId="10" state="visible" r:id="rId12"/>
    <sheet name="Комплектующие_20типов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<sst xmlns="http://schemas.openxmlformats.org/spreadsheetml/2006/main" count="3935" uniqueCount="1332">
  <si>
    <t xml:space="preserve">ИНСТРУКЦИЯ ПО ИСПОЛЬЗОВАНИЮ СПРАВОЧНИКА-АУДИТОРА</t>
  </si>
  <si>
    <t xml:space="preserve">НАЗНАЧЕНИЕ ДОКУМЕНТА:</t>
  </si>
  <si>
    <t xml:space="preserve">Данный справочник предназначен для аудита проектной документации на полноту состава всех необходимых строительно-монтажных и пуско-наладочных работ для систем безопасности:</t>
  </si>
  <si>
    <t xml:space="preserve">  • Системы контроля доступа (СКУД)</t>
  </si>
  <si>
    <t xml:space="preserve">  • Системы видеонаблюдения (АУПС)</t>
  </si>
  <si>
    <t xml:space="preserve">  • Противопожарные системы (пожарная сигнализация и оповещение)</t>
  </si>
  <si>
    <t xml:space="preserve">  • Охранные сигнализационные системы (ОС)</t>
  </si>
  <si>
    <t xml:space="preserve">  • Гибридные системы (комбинации перечисленных)</t>
  </si>
  <si>
    <t xml:space="preserve">СТРУКТУРА ДОКУМЕНТА:</t>
  </si>
  <si>
    <t xml:space="preserve">Лист 1. 'Общие этапы (все системы)' — универсальные контрольные точки, применимые к любому проекту систем безопасности. Включает 5 этапов: подготовительные, монтажные, пуско-наладочные, технико-измерительные, ввод в эксплуатацию.</t>
  </si>
  <si>
    <t xml:space="preserve">Лист 2. 'СКУД' — детальный чек-лист работ по системе контроля доступа: контроллеры, считыватели, замки, кнопки, турникеты, кабельная инфраструктура, пусконаладка.</t>
  </si>
  <si>
    <t xml:space="preserve">Лист 3. 'Видеонаблюдение' — детальный чек-лист: видеокамеры, регистраторы, HDD, ИБП, кабели, настройка ПО, удаленный доступ.</t>
  </si>
  <si>
    <t xml:space="preserve">Лист 4. 'Пожарная сигнализация' — детальный чек-лист: ППКП, дымовые/тепловые извещатели, оповещение, управление эвакуацией, нормативные требования МЧС.</t>
  </si>
  <si>
    <t xml:space="preserve">Лист 5. 'Охранная сигнализация' — детальный чек-лист: ИК-извещатели, магнитоконтакты, приборы приемно-контрольные, ПЦН, сценарии тревоги.</t>
  </si>
  <si>
    <t xml:space="preserve">Лист 6. 'Гибридные системы' — специфические работы по интеграции подсистем: СКУД+Видео, Охрана+Пожар, полный комплекс. Включает раздел 'Распространенные ошибки'.</t>
  </si>
  <si>
    <t xml:space="preserve">Лист 7. 'Сводный чек-лист' — мастер-лист с указанием, какие пункты относятся к какой системе (+ — входит, - — не входит). Используйте для быстрой проверки.</t>
  </si>
  <si>
    <t xml:space="preserve">КАК ИСПОЛЬЗОВАТЬ:</t>
  </si>
  <si>
    <t xml:space="preserve">Шаг 1. Определите тип проекта (отдельная система или гибрид).</t>
  </si>
  <si>
    <t xml:space="preserve">Шаг 2. Откройте соответствующий лист(ы) чек-листа.</t>
  </si>
  <si>
    <t xml:space="preserve">Шаг 3. Пройдите по каждому пункту и отметьте статус: 'да' — выполнено/учтено, 'нет' — пропущено, 'н/п' — не применимо.</t>
  </si>
  <si>
    <t xml:space="preserve">Шаг 4. Для гибридных проектов обязательно проверьте лист 'Гибридные системы' — там указаны типичные ошибки интеграции.</t>
  </si>
  <si>
    <t xml:space="preserve">Шаг 5. Используйте сводный чек-лист для финальной верификации перед сдачей проекта.</t>
  </si>
  <si>
    <t xml:space="preserve">ЧТО ЧАСТО 'ТЕРЯЮТ' ИНЖЕНЕРЫ (ТОП-15):</t>
  </si>
  <si>
    <t xml:space="preserve">1. Резервирование питания (ИБП, АКБ) — 'забывают' для части оборудования</t>
  </si>
  <si>
    <t xml:space="preserve">2. Заземление металлических корпусов камер и контроллеров</t>
  </si>
  <si>
    <t xml:space="preserve">3. Маркировка кабелей (делают, но не на всех концах)</t>
  </si>
  <si>
    <t xml:space="preserve">4. Кабельный запас на вводе (менее 5 м)</t>
  </si>
  <si>
    <t xml:space="preserve">5. Заделка штроб и восстановление отделки</t>
  </si>
  <si>
    <t xml:space="preserve">6. Настройка удаленного доступа (IP, порты, DDNS)</t>
  </si>
  <si>
    <t xml:space="preserve">7. Проверка чувствительности извещателей в реальных условиях</t>
  </si>
  <si>
    <t xml:space="preserve">8. Лицензии на ПО (покупают, но не активируют)</t>
  </si>
  <si>
    <t xml:space="preserve">9. Интеграция между подсистемами (протоколы, API)</t>
  </si>
  <si>
    <t xml:space="preserve">10. Обучение персонала Заказчика (формально, без практики)</t>
  </si>
  <si>
    <t xml:space="preserve">11. Журнал событий (не проверяют полноту записи)</t>
  </si>
  <si>
    <t xml:space="preserve">12. Проверка работы от АКБ (автономный режим)</t>
  </si>
  <si>
    <t xml:space="preserve">13. Защита от глубокого разряда АКБ</t>
  </si>
  <si>
    <t xml:space="preserve">14. Проверка передачи на ПЦН / в МЧС (только 'по бумагам')</t>
  </si>
  <si>
    <t xml:space="preserve">15. Исполнительная документация (чертежи не соответствуют факту)</t>
  </si>
  <si>
    <t xml:space="preserve">ОСНОВАНИЕ:</t>
  </si>
  <si>
    <t xml:space="preserve">Данный справочник составлен на основе анализа:</t>
  </si>
  <si>
    <t xml:space="preserve">  • Курсовая работа 'Проект СКУД для юридического лица' (Козлов Н.С., 2021)</t>
  </si>
  <si>
    <t xml:space="preserve">  • Курсовая работа 'Проект пожарной сигнализации для ТРК' (Николайченко Е.Д., 2021)</t>
  </si>
  <si>
    <t xml:space="preserve">  • Смета на монтаж СКУД (primer_smety_na_montazh_sistemy_kontrolya_dostupa_skd_mtsn)</t>
  </si>
  <si>
    <t xml:space="preserve">  • Смета на монтаж и пусконаладку видеонаблюдения (lokalnaya_smeta_v_fer_na_montazh_i_puskonaladku)</t>
  </si>
  <si>
    <t xml:space="preserve">  • Смета на пожарно-охранную сигнализацию (obrazec_smety_na_pozharno-ohrannuyu_signalizaciyu_fer)</t>
  </si>
  <si>
    <t xml:space="preserve">  • Смета на охранную сигнализацию (obrazec_smety_na_ohrannuyu_signalizaciyu_2)</t>
  </si>
  <si>
    <t xml:space="preserve">  • ГОСТ Р 51558-2000, НПБ 104-03, СП 3.13130, ГОСТ 21.101-97</t>
  </si>
  <si>
    <t xml:space="preserve">Дата составления: 2025 г. | Версия: 1.0</t>
  </si>
  <si>
    <t xml:space="preserve">ДОПОЛНЕНИЕ К СПРАВОЧНИКУ (версия 1.1, добавлено 11.07.2026):</t>
  </si>
  <si>
    <t xml:space="preserve">Лист 8. «Гантт_ИТСО (6 типов)» — набор задач по 5 стадиям (I-V) для календарного планирования (диаграммы Ганта) шести инженерно-технических систем охраны: СКУД, видеонаблюдение, пожарная и охранная сигнализация, периметральная охрана, гибридные системы. Задачи опираются на состав работ листов 2-6 и общий скелет листа 1 «Общие этапы»; добавлены длительность (дн.), предшественник и применимость по каждой из 6 систем.</t>
  </si>
  <si>
    <t xml:space="preserve">Лист 9. «Гантт_Софт_Орг (14 типов)» — набор задач по отдельной 5-стадийной модели для программно-аппаратных проектов ИБ (NGFW, DLP, IAM, SIEM, EDR, VPN, резервное копирование, СКЗИ) и организационно-административных проектов (политика ИБ, категорирование КИИ, защита ПДн, паспорт безопасности объекта, аудит ИБ, обучение персонала). Эти проекты не связаны со строительно-монтажными работами, поэтому используют иную стадийность: Инициация и анализ → Проектирование/разработка → Закупка и внедрение → Настройка, тестирование и обучение → Приёмка и ввод в эксплуатацию. Ниже общей таблицы приведён отдельный блок специфичных задач по каждому из 14 типов.</t>
  </si>
  <si>
    <t xml:space="preserve">Оба листа — исходные данные для построения диаграммы Ганта (расчёт дат ведётся в Excel через условное форматирование либо во внешнем инструменте, например в интерактивном приложении курса); содержат только длительности и последовательность (предшественник), а не готовые календарные даты.</t>
  </si>
  <si>
    <t xml:space="preserve">Вместе с 6 типами ИТСО и 14 типами программно-аппаратных/организационных проектов справочник теперь охватывает все 20 типов проектов ИБ таксономии курса «Управление проектами информационной безопасности» (сундуки рулетки «ИТСО», «Программно-аппаратный», «Организационно-административный»).</t>
  </si>
  <si>
    <t xml:space="preserve">ДОПОЛНЕНИЕ 2 (версия 1.2, добавлено 11.07.2026):</t>
  </si>
  <si>
    <t xml:space="preserve">Лист 10. «Комплектующие_20типов» — для каждого из 20 типов проектов ИБ приведена таблица «Потребность в комплектующих систем ИБ»: ключевые компоненты/услуги проекта с тремя уровнями стоимости (Бюджетная / Middle-средняя / VIP-лучшая), актуальным вендором-лидером сегмента на 2026 год и статусом данных (факт — цена найдена в открытом источнике, с указанием источника; оценка — ориентир по аналогии с ценами того же класса решений). Лист служит основой для экономического расчёта (ТЭО) в Занятии №3 и для наполнения бюджета проекта в интерактивном приложении курса.</t>
  </si>
  <si>
    <t xml:space="preserve">Все цены требуют актуализации перед использованием в реальной смете — это учебные ориентиры, а не коммерческое предложение поставщика.</t>
  </si>
  <si>
    <t xml:space="preserve">ОБЩИЕ ЭТАПЫ ПРОЕКТА МОНТАЖА СИСТЕМ БЕЗОПАСНОСТИ</t>
  </si>
  <si>
    <t xml:space="preserve">(СКУД, Видеонаблюдение, Пожарная сигнализация, Охранная сигнализация — отдельно и в гибриде)</t>
  </si>
  <si>
    <t xml:space="preserve">№ п/п</t>
  </si>
  <si>
    <t xml:space="preserve">Код</t>
  </si>
  <si>
    <t xml:space="preserve">Наименование работ / контрольной точки</t>
  </si>
  <si>
    <t xml:space="preserve">Ответственный</t>
  </si>
  <si>
    <t xml:space="preserve">Документальное подтверждение</t>
  </si>
  <si>
    <t xml:space="preserve">Статус</t>
  </si>
  <si>
    <t xml:space="preserve">1</t>
  </si>
  <si>
    <t xml:space="preserve">I.1</t>
  </si>
  <si>
    <t xml:space="preserve">Предпроектное обследование объекта (обмеры, фото, схемы)</t>
  </si>
  <si>
    <t xml:space="preserve">Инженер проекта</t>
  </si>
  <si>
    <t xml:space="preserve">Акт обследования</t>
  </si>
  <si>
    <t xml:space="preserve">2</t>
  </si>
  <si>
    <t xml:space="preserve">I.2</t>
  </si>
  <si>
    <t xml:space="preserve">Разработка технического задания (ТЗ) на проектирование</t>
  </si>
  <si>
    <t xml:space="preserve">Руководитель проекта</t>
  </si>
  <si>
    <t xml:space="preserve">Утвержденное ТЗ</t>
  </si>
  <si>
    <t xml:space="preserve">3</t>
  </si>
  <si>
    <t xml:space="preserve">I.3</t>
  </si>
  <si>
    <t xml:space="preserve">Эскизное проектирование и согласование с Заказчиком</t>
  </si>
  <si>
    <t xml:space="preserve">Проектировщик</t>
  </si>
  <si>
    <t xml:space="preserve">Эскизный проект</t>
  </si>
  <si>
    <t xml:space="preserve">4</t>
  </si>
  <si>
    <t xml:space="preserve">I.4</t>
  </si>
  <si>
    <t xml:space="preserve">Разработка рабочей документации (чертежи, схемы, спецификации)</t>
  </si>
  <si>
    <t xml:space="preserve">Рабочий проект</t>
  </si>
  <si>
    <t xml:space="preserve">5</t>
  </si>
  <si>
    <t xml:space="preserve">I.5</t>
  </si>
  <si>
    <t xml:space="preserve">Подбор и закупка оборудования и материалов</t>
  </si>
  <si>
    <t xml:space="preserve">Зав. складом</t>
  </si>
  <si>
    <t xml:space="preserve">Спецификация, накладные</t>
  </si>
  <si>
    <t xml:space="preserve">6</t>
  </si>
  <si>
    <t xml:space="preserve">I.6</t>
  </si>
  <si>
    <t xml:space="preserve">Проверка комплектности поставки оборудования</t>
  </si>
  <si>
    <t xml:space="preserve">Инженер ИБ</t>
  </si>
  <si>
    <t xml:space="preserve">Акт приемки оборудования</t>
  </si>
  <si>
    <t xml:space="preserve">7</t>
  </si>
  <si>
    <t xml:space="preserve">I.7</t>
  </si>
  <si>
    <t xml:space="preserve">Проверка наличия сертификатов, лицензий, СРО</t>
  </si>
  <si>
    <t xml:space="preserve">Юрист</t>
  </si>
  <si>
    <t xml:space="preserve">Копии документов</t>
  </si>
  <si>
    <t xml:space="preserve">8</t>
  </si>
  <si>
    <t xml:space="preserve">I.8</t>
  </si>
  <si>
    <t xml:space="preserve">Подготовка инструмента и расходных материалов</t>
  </si>
  <si>
    <t xml:space="preserve">Мастер</t>
  </si>
  <si>
    <t xml:space="preserve">Чек-лист инструментов</t>
  </si>
  <si>
    <t xml:space="preserve">9</t>
  </si>
  <si>
    <t xml:space="preserve">I.9</t>
  </si>
  <si>
    <t xml:space="preserve">Оформление нарядов-допусков на производство работ</t>
  </si>
  <si>
    <t xml:space="preserve">Наряд-допуск</t>
  </si>
  <si>
    <t xml:space="preserve">10</t>
  </si>
  <si>
    <t xml:space="preserve">I.10</t>
  </si>
  <si>
    <t xml:space="preserve">Инструктаж персонала по технике безопасности</t>
  </si>
  <si>
    <t xml:space="preserve">Протокол инструктажа</t>
  </si>
  <si>
    <t xml:space="preserve">11</t>
  </si>
  <si>
    <t xml:space="preserve">II.1</t>
  </si>
  <si>
    <t xml:space="preserve">Разметка трасс кабельных линий и мест крепления оборудования</t>
  </si>
  <si>
    <t xml:space="preserve">Монтажник</t>
  </si>
  <si>
    <t xml:space="preserve">Фото разметки</t>
  </si>
  <si>
    <t xml:space="preserve">12</t>
  </si>
  <si>
    <t xml:space="preserve">II.2</t>
  </si>
  <si>
    <t xml:space="preserve">Штробление стен, перекрытий, сверление отверстий</t>
  </si>
  <si>
    <t xml:space="preserve">Акт скрытых работ</t>
  </si>
  <si>
    <t xml:space="preserve">13</t>
  </si>
  <si>
    <t xml:space="preserve">II.3</t>
  </si>
  <si>
    <t xml:space="preserve">Установка кабель-каналов, коробов, труб</t>
  </si>
  <si>
    <t xml:space="preserve">Фото, акт</t>
  </si>
  <si>
    <t xml:space="preserve">14</t>
  </si>
  <si>
    <t xml:space="preserve">II.4</t>
  </si>
  <si>
    <t xml:space="preserve">Прокладка кабелей и проводов (силовых, сигнальных, интерфейсных)</t>
  </si>
  <si>
    <t xml:space="preserve">Акт прокладки</t>
  </si>
  <si>
    <t xml:space="preserve">15</t>
  </si>
  <si>
    <t xml:space="preserve">II.5</t>
  </si>
  <si>
    <t xml:space="preserve">Монтаж несущих конструкций, кронштейнов, стоек</t>
  </si>
  <si>
    <t xml:space="preserve">16</t>
  </si>
  <si>
    <t xml:space="preserve">II.6</t>
  </si>
  <si>
    <t xml:space="preserve">Установка контроллеров, блоков питания, приборов</t>
  </si>
  <si>
    <t xml:space="preserve">Акт установки</t>
  </si>
  <si>
    <t xml:space="preserve">17</t>
  </si>
  <si>
    <t xml:space="preserve">II.7</t>
  </si>
  <si>
    <t xml:space="preserve">Установка оконечного оборудования (датчики, считыватели, камеры и т.д.)</t>
  </si>
  <si>
    <t xml:space="preserve">18</t>
  </si>
  <si>
    <t xml:space="preserve">II.8</t>
  </si>
  <si>
    <t xml:space="preserve">Подключение силового питания (автоматы, УЗО, ИБП)</t>
  </si>
  <si>
    <t xml:space="preserve">Электромонтажник</t>
  </si>
  <si>
    <t xml:space="preserve">Схема подключения</t>
  </si>
  <si>
    <t xml:space="preserve">19</t>
  </si>
  <si>
    <t xml:space="preserve">II.9</t>
  </si>
  <si>
    <t xml:space="preserve">Подключение кабелей к оборудованию (обжим, коммутация)</t>
  </si>
  <si>
    <t xml:space="preserve">20</t>
  </si>
  <si>
    <t xml:space="preserve">II.10</t>
  </si>
  <si>
    <t xml:space="preserve">Укладка кабельных запасов (не менее 5 м на вводе)</t>
  </si>
  <si>
    <t xml:space="preserve">Фото</t>
  </si>
  <si>
    <t xml:space="preserve">21</t>
  </si>
  <si>
    <t xml:space="preserve">II.11</t>
  </si>
  <si>
    <t xml:space="preserve">Маркировка кабелей и проводов</t>
  </si>
  <si>
    <t xml:space="preserve">Фото маркировки</t>
  </si>
  <si>
    <t xml:space="preserve">22</t>
  </si>
  <si>
    <t xml:space="preserve">II.12</t>
  </si>
  <si>
    <t xml:space="preserve">Заделка штроб, отверстий, восстановление отделки</t>
  </si>
  <si>
    <t xml:space="preserve">23</t>
  </si>
  <si>
    <t xml:space="preserve">II.13</t>
  </si>
  <si>
    <t xml:space="preserve">Уборка монтажного мусора</t>
  </si>
  <si>
    <t xml:space="preserve">Акт уборки</t>
  </si>
  <si>
    <t xml:space="preserve">24</t>
  </si>
  <si>
    <t xml:space="preserve">III.1</t>
  </si>
  <si>
    <t xml:space="preserve">Проверка целостности кабельных линий (прозвонка)</t>
  </si>
  <si>
    <t xml:space="preserve">Наладчик</t>
  </si>
  <si>
    <t xml:space="preserve">Протокол прозвонки</t>
  </si>
  <si>
    <t xml:space="preserve">25</t>
  </si>
  <si>
    <t xml:space="preserve">III.2</t>
  </si>
  <si>
    <t xml:space="preserve">Проверка наличия и качества питания на всех точках</t>
  </si>
  <si>
    <t xml:space="preserve">Акт замеров</t>
  </si>
  <si>
    <t xml:space="preserve">26</t>
  </si>
  <si>
    <t xml:space="preserve">III.3</t>
  </si>
  <si>
    <t xml:space="preserve">Настройка и программирование контроллеров, приборов</t>
  </si>
  <si>
    <t xml:space="preserve">Конфигурационный файл</t>
  </si>
  <si>
    <t xml:space="preserve">27</t>
  </si>
  <si>
    <t xml:space="preserve">III.4</t>
  </si>
  <si>
    <t xml:space="preserve">Установка и настройка ПО управления системой</t>
  </si>
  <si>
    <t xml:space="preserve">Программист</t>
  </si>
  <si>
    <t xml:space="preserve">Скриншоты, лицензии</t>
  </si>
  <si>
    <t xml:space="preserve">28</t>
  </si>
  <si>
    <t xml:space="preserve">III.5</t>
  </si>
  <si>
    <t xml:space="preserve">Регистрация пользователей, раздача прав доступа</t>
  </si>
  <si>
    <t xml:space="preserve">База пользователей</t>
  </si>
  <si>
    <t xml:space="preserve">29</t>
  </si>
  <si>
    <t xml:space="preserve">III.6</t>
  </si>
  <si>
    <t xml:space="preserve">Проверка работоспособности каждого устройства (поштучно)</t>
  </si>
  <si>
    <t xml:space="preserve">Акт проверки</t>
  </si>
  <si>
    <t xml:space="preserve">30</t>
  </si>
  <si>
    <t xml:space="preserve">III.7</t>
  </si>
  <si>
    <t xml:space="preserve">Проверка срабатывания датчиков, извещателей</t>
  </si>
  <si>
    <t xml:space="preserve">31</t>
  </si>
  <si>
    <t xml:space="preserve">III.8</t>
  </si>
  <si>
    <t xml:space="preserve">Настройка сценариев реакции системы на события</t>
  </si>
  <si>
    <t xml:space="preserve">Таблица сценариев</t>
  </si>
  <si>
    <t xml:space="preserve">32</t>
  </si>
  <si>
    <t xml:space="preserve">III.9</t>
  </si>
  <si>
    <t xml:space="preserve">Проверка интеграции с другими системами (если гибрид)</t>
  </si>
  <si>
    <t xml:space="preserve">Акт интеграции</t>
  </si>
  <si>
    <t xml:space="preserve">33</t>
  </si>
  <si>
    <t xml:space="preserve">III.10</t>
  </si>
  <si>
    <t xml:space="preserve">Настройка резервирования и аварийного питания</t>
  </si>
  <si>
    <t xml:space="preserve">Акт проверки ИБП</t>
  </si>
  <si>
    <t xml:space="preserve">34</t>
  </si>
  <si>
    <t xml:space="preserve">IV.1</t>
  </si>
  <si>
    <t xml:space="preserve">Проверка сопротивления изоляции кабельных линий</t>
  </si>
  <si>
    <t xml:space="preserve">Протокол измерений</t>
  </si>
  <si>
    <t xml:space="preserve">35</t>
  </si>
  <si>
    <t xml:space="preserve">IV.2</t>
  </si>
  <si>
    <t xml:space="preserve">Проверка заземления и контуров защитного заземления</t>
  </si>
  <si>
    <t xml:space="preserve">Электролаборатория</t>
  </si>
  <si>
    <t xml:space="preserve">Протокол</t>
  </si>
  <si>
    <t xml:space="preserve">36</t>
  </si>
  <si>
    <t xml:space="preserve">IV.3</t>
  </si>
  <si>
    <t xml:space="preserve">Проверка работоспособности при пониженном/повышенном напряжении</t>
  </si>
  <si>
    <t xml:space="preserve">37</t>
  </si>
  <si>
    <t xml:space="preserve">IV.4</t>
  </si>
  <si>
    <t xml:space="preserve">Проверка чувствительности датчиков и зон покрытия</t>
  </si>
  <si>
    <t xml:space="preserve">Протокол, схема</t>
  </si>
  <si>
    <t xml:space="preserve">38</t>
  </si>
  <si>
    <t xml:space="preserve">IV.5</t>
  </si>
  <si>
    <t xml:space="preserve">Проверка уровня освещенности (для видеокамер)</t>
  </si>
  <si>
    <t xml:space="preserve">Люксметр, протокол</t>
  </si>
  <si>
    <t xml:space="preserve">39</t>
  </si>
  <si>
    <t xml:space="preserve">IV.6</t>
  </si>
  <si>
    <t xml:space="preserve">Проверка скорости реакции системы на тревогу</t>
  </si>
  <si>
    <t xml:space="preserve">Протокол замеров</t>
  </si>
  <si>
    <t xml:space="preserve">40</t>
  </si>
  <si>
    <t xml:space="preserve">V.1</t>
  </si>
  <si>
    <t xml:space="preserve">Контрольные и приемо-сдаточные испытания всей системы</t>
  </si>
  <si>
    <t xml:space="preserve">Комиссия</t>
  </si>
  <si>
    <t xml:space="preserve">Протокол испытаний</t>
  </si>
  <si>
    <t xml:space="preserve">41</t>
  </si>
  <si>
    <t xml:space="preserve">V.2</t>
  </si>
  <si>
    <t xml:space="preserve">Составление исполнительной документации (акты, схемы)</t>
  </si>
  <si>
    <t xml:space="preserve">Исполнительная документация</t>
  </si>
  <si>
    <t xml:space="preserve">42</t>
  </si>
  <si>
    <t xml:space="preserve">V.3</t>
  </si>
  <si>
    <t xml:space="preserve">Обучение персонала Заказчика эксплуатации системы</t>
  </si>
  <si>
    <t xml:space="preserve">Протокол обучения</t>
  </si>
  <si>
    <t xml:space="preserve">43</t>
  </si>
  <si>
    <t xml:space="preserve">V.4</t>
  </si>
  <si>
    <t xml:space="preserve">Передача паролей, ключей, лицензий Заказчику</t>
  </si>
  <si>
    <t xml:space="preserve">Акт передачи</t>
  </si>
  <si>
    <t xml:space="preserve">44</t>
  </si>
  <si>
    <t xml:space="preserve">V.5</t>
  </si>
  <si>
    <t xml:space="preserve">Подписание акта ввода в эксплуатацию</t>
  </si>
  <si>
    <t xml:space="preserve">Акт ввода в эксплуатацию</t>
  </si>
  <si>
    <t xml:space="preserve">45</t>
  </si>
  <si>
    <t xml:space="preserve">V.6</t>
  </si>
  <si>
    <t xml:space="preserve">Гарантийное обслуживание (в течение срока гарантии)</t>
  </si>
  <si>
    <t xml:space="preserve">Сервис</t>
  </si>
  <si>
    <t xml:space="preserve">Договор на ТО</t>
  </si>
  <si>
    <t xml:space="preserve">ЧЕК-ЛИСТ ПОЛНОТЫ СОСТАВА РАБОТ: СИСТЕМА КОНТРОЛЯ ДОСТУПА (СКУД)</t>
  </si>
  <si>
    <t xml:space="preserve">Основано на смете: primer_smety_na_montazh_sistemy_kontrolya_dostupa_(skd)_mtsn + курсовая Козлов</t>
  </si>
  <si>
    <t xml:space="preserve">Наименование работ / элемента</t>
  </si>
  <si>
    <t xml:space="preserve">Ед.изм.</t>
  </si>
  <si>
    <t xml:space="preserve">Проверка (да/нет/н/п)</t>
  </si>
  <si>
    <t xml:space="preserve">Примечания</t>
  </si>
  <si>
    <t xml:space="preserve">Нормы и требования (ГОСТ/СП/РД/ФЗ)</t>
  </si>
  <si>
    <t xml:space="preserve">Уровень требований к квалификации специалиста</t>
  </si>
  <si>
    <t xml:space="preserve">Ссылка на пункт/раздел документа</t>
  </si>
  <si>
    <t xml:space="preserve">1.1</t>
  </si>
  <si>
    <t xml:space="preserve">Установка Блока Центрального Процессорного (БЦП)</t>
  </si>
  <si>
    <t xml:space="preserve">шт</t>
  </si>
  <si>
    <t xml:space="preserve">Проверить питание, заземление</t>
  </si>
  <si>
    <t xml:space="preserve">ГОСТ Р 51241-2008 «Средства и системы контроля и управления доступом»; ГОСТ Р 54831-2011 «СКУД. Устройства преграждающие управляемые»</t>
  </si>
  <si>
    <t xml:space="preserve">Электромонтажник СКУД, среднее проф. образование, допуск по электробезопасности гр. II-III</t>
  </si>
  <si>
    <t xml:space="preserve">ГОСТ Р 51241-2008, разд. 6 «Общие технические требования»; ГОСТ Р 54831-2011, разд. 5</t>
  </si>
  <si>
    <t xml:space="preserve">1.2</t>
  </si>
  <si>
    <t xml:space="preserve">Установка сетевых контроллеров (на 4/8/16/32 луча)</t>
  </si>
  <si>
    <t xml:space="preserve">Кол-во по проекту</t>
  </si>
  <si>
    <t xml:space="preserve">1.3</t>
  </si>
  <si>
    <t xml:space="preserve">Установка считывателей карт / биометрических считывателей</t>
  </si>
  <si>
    <t xml:space="preserve">устройство</t>
  </si>
  <si>
    <t xml:space="preserve">Тип: EM-Marin, Mifare, отпечаток</t>
  </si>
  <si>
    <t xml:space="preserve">1.4</t>
  </si>
  <si>
    <t xml:space="preserve">Установка извещателей охранных (магнитоконтактных, ИК)</t>
  </si>
  <si>
    <t xml:space="preserve">На двери, окна</t>
  </si>
  <si>
    <t xml:space="preserve">1.5</t>
  </si>
  <si>
    <t xml:space="preserve">Установка кнопок выхода (EXIT)</t>
  </si>
  <si>
    <t xml:space="preserve">С нормально-замкнутым контактом</t>
  </si>
  <si>
    <t xml:space="preserve">1.6</t>
  </si>
  <si>
    <t xml:space="preserve">Установка электромагнитных / электромеханических замков</t>
  </si>
  <si>
    <t xml:space="preserve">компл</t>
  </si>
  <si>
    <t xml:space="preserve">Проверить мощность, усилие удержания</t>
  </si>
  <si>
    <t xml:space="preserve">1.7</t>
  </si>
  <si>
    <t xml:space="preserve">Установка дверных доводчиков</t>
  </si>
  <si>
    <t xml:space="preserve">К металлическим дверям</t>
  </si>
  <si>
    <t xml:space="preserve">1.8</t>
  </si>
  <si>
    <t xml:space="preserve">Установка блоков питания (в т.ч. резервированных)</t>
  </si>
  <si>
    <t xml:space="preserve">С аккумуляторами</t>
  </si>
  <si>
    <t xml:space="preserve">1.9</t>
  </si>
  <si>
    <t xml:space="preserve">Установка турникетов / шлагбаумов / калиток</t>
  </si>
  <si>
    <t xml:space="preserve">Проверить механизм, петли</t>
  </si>
  <si>
    <t xml:space="preserve">1.10</t>
  </si>
  <si>
    <t xml:space="preserve">Установка антипаниковых устройств</t>
  </si>
  <si>
    <t xml:space="preserve">Для аварийного выхода</t>
  </si>
  <si>
    <t xml:space="preserve">1.11</t>
  </si>
  <si>
    <t xml:space="preserve">Монтаж кнопок тревожной сигнализации</t>
  </si>
  <si>
    <t xml:space="preserve">Скрытого типа</t>
  </si>
  <si>
    <t xml:space="preserve">2.1</t>
  </si>
  <si>
    <t xml:space="preserve">Прокладка труб гофрированных ПВХ (на стенах, потолках)</t>
  </si>
  <si>
    <t xml:space="preserve">100 м</t>
  </si>
  <si>
    <t xml:space="preserve">Диаметр до 27 мм, скобы</t>
  </si>
  <si>
    <t xml:space="preserve">СП 76.13330.2016 «Электротехнические устройства» (актуализация СНиП 3.05.06-85); ПУЭ изд.7</t>
  </si>
  <si>
    <t xml:space="preserve">Монтажник слаботочных систем, среднее проф. образование, допуск по электробезопасности гр. II</t>
  </si>
  <si>
    <t xml:space="preserve">СП 76.13330.2016, разд. 14 «Прокладка электропроводок»</t>
  </si>
  <si>
    <t xml:space="preserve">2.2</t>
  </si>
  <si>
    <t xml:space="preserve">Прокладка металлических коробов для кабелей</t>
  </si>
  <si>
    <t xml:space="preserve">Со стойками и полками</t>
  </si>
  <si>
    <t xml:space="preserve">2.3</t>
  </si>
  <si>
    <t xml:space="preserve">Затягивание проводов в трубы (первый провод, сечение до 2,5 мм2)</t>
  </si>
  <si>
    <t xml:space="preserve">КСПВ, витая пара</t>
  </si>
  <si>
    <t xml:space="preserve">2.4</t>
  </si>
  <si>
    <t xml:space="preserve">Затягивание проводов (каждый последующий, сечение до 6 мм2)</t>
  </si>
  <si>
    <t xml:space="preserve">Питание, сигнальные</t>
  </si>
  <si>
    <t xml:space="preserve">2.5</t>
  </si>
  <si>
    <t xml:space="preserve">Прокладка кабеля UTP/FTP (сетевого)</t>
  </si>
  <si>
    <t xml:space="preserve">Для связи контроллеров</t>
  </si>
  <si>
    <t xml:space="preserve">2.6</t>
  </si>
  <si>
    <t xml:space="preserve">Установка соединительных коробок</t>
  </si>
  <si>
    <t xml:space="preserve">Распределительные</t>
  </si>
  <si>
    <t xml:space="preserve">2.7</t>
  </si>
  <si>
    <t xml:space="preserve">Обжим разъемов (RJ-45, BNC, штекеры)</t>
  </si>
  <si>
    <t xml:space="preserve">Проверить тестером</t>
  </si>
  <si>
    <t xml:space="preserve">2.8</t>
  </si>
  <si>
    <t xml:space="preserve">Маркировка кабелей и жил</t>
  </si>
  <si>
    <t xml:space="preserve">На обоих концах</t>
  </si>
  <si>
    <t xml:space="preserve">2.9</t>
  </si>
  <si>
    <t xml:space="preserve">Подключение клемм, клеммных колодок (WAGO, гильзы)</t>
  </si>
  <si>
    <t xml:space="preserve">Надежность контакта</t>
  </si>
  <si>
    <t xml:space="preserve">2.10</t>
  </si>
  <si>
    <t xml:space="preserve">Установка розеток штепсельных полугерметичных</t>
  </si>
  <si>
    <t xml:space="preserve">100 шт</t>
  </si>
  <si>
    <t xml:space="preserve">Для цепей питания</t>
  </si>
  <si>
    <t xml:space="preserve">3.1</t>
  </si>
  <si>
    <t xml:space="preserve">Подключение автоматов защиты в электрощите</t>
  </si>
  <si>
    <t xml:space="preserve">Номинал по расчету</t>
  </si>
  <si>
    <t xml:space="preserve">ПУЭ изд.7, гл. 1.7 «Заземление и защитные меры электробезопасности»; ГОСТ Р 50571.5.54-2013</t>
  </si>
  <si>
    <t xml:space="preserve">Электромонтажник с допуском по электробезопасности не ниже гр. III</t>
  </si>
  <si>
    <t xml:space="preserve">ПУЭ, п. 1.7.101–1.7.103; ГОСТ Р 50571.5.54-2013, разд. 5</t>
  </si>
  <si>
    <t xml:space="preserve">3.2</t>
  </si>
  <si>
    <t xml:space="preserve">Установка ИБП (источника бесперебойного питания)</t>
  </si>
  <si>
    <t xml:space="preserve">Проверить автономность</t>
  </si>
  <si>
    <t xml:space="preserve">3.3</t>
  </si>
  <si>
    <t xml:space="preserve">Установка аккумуляторных батарей (АКБ)</t>
  </si>
  <si>
    <t xml:space="preserve">Емкость, срок службы</t>
  </si>
  <si>
    <t xml:space="preserve">3.4</t>
  </si>
  <si>
    <t xml:space="preserve">Прокладка силового кабеля от щита до контроллеров</t>
  </si>
  <si>
    <t xml:space="preserve">м</t>
  </si>
  <si>
    <t xml:space="preserve">Сечение по нагрузке</t>
  </si>
  <si>
    <t xml:space="preserve">3.5</t>
  </si>
  <si>
    <t xml:space="preserve">Проверка заземления всех металлических корпусов</t>
  </si>
  <si>
    <t xml:space="preserve">точка</t>
  </si>
  <si>
    <t xml:space="preserve">Сопротивление &lt; 4 Ом</t>
  </si>
  <si>
    <t xml:space="preserve">3.6</t>
  </si>
  <si>
    <t xml:space="preserve">Установка конденсаторов для гашения выбросов (для замков)</t>
  </si>
  <si>
    <t xml:space="preserve">1000-4700 мкФ, 18В</t>
  </si>
  <si>
    <t xml:space="preserve">3.7</t>
  </si>
  <si>
    <t xml:space="preserve">Установка шунтирующих диодов (для замков с частым открыванием)</t>
  </si>
  <si>
    <t xml:space="preserve">При &gt;10 проходов/мин</t>
  </si>
  <si>
    <t xml:space="preserve">4.1</t>
  </si>
  <si>
    <t xml:space="preserve">Настройка и программирование БЦП и контроллеров</t>
  </si>
  <si>
    <t xml:space="preserve">станция</t>
  </si>
  <si>
    <t xml:space="preserve">Адреса, протокол</t>
  </si>
  <si>
    <t xml:space="preserve">ГОСТ Р 51241-2008, разд. 7 «Методы испытаний»; Р 78.36.032-2013 «Рекомендации по проектированию и монтажу СКУД» (НИЦ «Охрана» Росгвардии)</t>
  </si>
  <si>
    <t xml:space="preserve">Инженер-наладчик СКУД, высшее/среднее проф. техническое образование, обучение по ПО производителя</t>
  </si>
  <si>
    <t xml:space="preserve">Р 78.36.032-2013, разд. «Пусконаладочные работы»</t>
  </si>
  <si>
    <t xml:space="preserve">4.2</t>
  </si>
  <si>
    <t xml:space="preserve">Установка операционной системы и ПО управления СКУД</t>
  </si>
  <si>
    <t xml:space="preserve">Лицензии, драйверы</t>
  </si>
  <si>
    <t xml:space="preserve">4.3</t>
  </si>
  <si>
    <t xml:space="preserve">Конфигурирование сетевых компонентов (IP-адреса, порты)</t>
  </si>
  <si>
    <t xml:space="preserve">объект</t>
  </si>
  <si>
    <t xml:space="preserve">Ping до всех узлов</t>
  </si>
  <si>
    <t xml:space="preserve">4.4</t>
  </si>
  <si>
    <t xml:space="preserve">Программирование уровней доступа и временных зон</t>
  </si>
  <si>
    <t xml:space="preserve">По графику работы</t>
  </si>
  <si>
    <t xml:space="preserve">4.5</t>
  </si>
  <si>
    <t xml:space="preserve">Регистрация карт доступа / биометрии пользователей</t>
  </si>
  <si>
    <t xml:space="preserve">чел</t>
  </si>
  <si>
    <t xml:space="preserve">Проверить каждую карту</t>
  </si>
  <si>
    <t xml:space="preserve">4.6</t>
  </si>
  <si>
    <t xml:space="preserve">Настройка сценариев реакции на события (тревога, пожар)</t>
  </si>
  <si>
    <t xml:space="preserve">Автооткрывание дверей</t>
  </si>
  <si>
    <t xml:space="preserve">4.7</t>
  </si>
  <si>
    <t xml:space="preserve">Проверка работы каждой точки доступа (вход/выход)</t>
  </si>
  <si>
    <t xml:space="preserve">Все режимы</t>
  </si>
  <si>
    <t xml:space="preserve">4.8</t>
  </si>
  <si>
    <t xml:space="preserve">Проверка работы замков (задержка открывания, удержание)</t>
  </si>
  <si>
    <t xml:space="preserve">0,1-0,5 сек</t>
  </si>
  <si>
    <t xml:space="preserve">4.9</t>
  </si>
  <si>
    <t xml:space="preserve">Проверка работы кнопок выхода</t>
  </si>
  <si>
    <t xml:space="preserve">Нормально-замкнутые</t>
  </si>
  <si>
    <t xml:space="preserve">4.10</t>
  </si>
  <si>
    <t xml:space="preserve">Контрольные и приемо-сдаточные испытания</t>
  </si>
  <si>
    <t xml:space="preserve">По ГОСТ РФ</t>
  </si>
  <si>
    <t xml:space="preserve">5.1</t>
  </si>
  <si>
    <t xml:space="preserve">Схема электрическая принципиальная</t>
  </si>
  <si>
    <t xml:space="preserve">лист</t>
  </si>
  <si>
    <t xml:space="preserve">По ГОСТ 21.101-97</t>
  </si>
  <si>
    <t xml:space="preserve">ГОСТ 21.101-97 «СПДС. Основные требования к проектной и рабочей документации»; РД 78.145-93 «Правила производства и приемки работ»</t>
  </si>
  <si>
    <t xml:space="preserve">Инженер-проектировщик / ответственный производитель работ, высшее техническое образование</t>
  </si>
  <si>
    <t xml:space="preserve">ГОСТ 21.101-97, разд. 4; РД 78.145-93, разд. 3 «Приемка работ»</t>
  </si>
  <si>
    <t xml:space="preserve">5.2</t>
  </si>
  <si>
    <t xml:space="preserve">Структурная схема подключения извещателей</t>
  </si>
  <si>
    <t xml:space="preserve">Привязка к объекту</t>
  </si>
  <si>
    <t xml:space="preserve">5.3</t>
  </si>
  <si>
    <t xml:space="preserve">Акт монтажных работ</t>
  </si>
  <si>
    <t xml:space="preserve">экз</t>
  </si>
  <si>
    <t xml:space="preserve">Подписан Заказчиком</t>
  </si>
  <si>
    <t xml:space="preserve">5.4</t>
  </si>
  <si>
    <t xml:space="preserve">Акт пусконаладочных работ</t>
  </si>
  <si>
    <t xml:space="preserve">5.5</t>
  </si>
  <si>
    <t xml:space="preserve">Журнал учета регистрации карт</t>
  </si>
  <si>
    <t xml:space="preserve">С паролями администратора</t>
  </si>
  <si>
    <t xml:space="preserve">ЧЕК-ЛИСТ ПОЛНОТЫ СОСТАВА РАБОТ: СИСТЕМА ВИДЕОНАБЛЮДЕНИЯ (АУПС)</t>
  </si>
  <si>
    <t xml:space="preserve">Основано на смете: lokalnaya_smeta_v_fer_na_montazh_i_puskonaladku_sistemy_videonablyudeniya + курсовая Николайченко</t>
  </si>
  <si>
    <t xml:space="preserve">Установка видеокамер внутренних (купольных, цилиндрических)</t>
  </si>
  <si>
    <t xml:space="preserve">Тип: цветная/ЧБ, разрешение</t>
  </si>
  <si>
    <t xml:space="preserve">ГОСТ Р 51558-2014 «Средства и системы охранные телевизионные» (действующая редакция; в примечании листа указан устаревший ГОСТ Р 51558-2000)</t>
  </si>
  <si>
    <t xml:space="preserve">Монтажник систем видеонаблюдения, среднее проф. образование</t>
  </si>
  <si>
    <t xml:space="preserve">ГОСТ Р 51558-2014, разд. 5 «Технические требования к видеокамерам»</t>
  </si>
  <si>
    <t xml:space="preserve">Установка видеокамер уличных (в антивандальном корпусе)</t>
  </si>
  <si>
    <t xml:space="preserve">IP-рейтинг, подогрев</t>
  </si>
  <si>
    <t xml:space="preserve">Установка поворотных (SpeedDome) камер</t>
  </si>
  <si>
    <t xml:space="preserve">Проверить моторизованный привод</t>
  </si>
  <si>
    <t xml:space="preserve">Настройка угла обзора и фокусного расстояния</t>
  </si>
  <si>
    <t xml:space="preserve">90-100° для помещений</t>
  </si>
  <si>
    <t xml:space="preserve">Настройка чувствительности (минимальная освещенность)</t>
  </si>
  <si>
    <t xml:space="preserve">0,01 лк для уличных</t>
  </si>
  <si>
    <t xml:space="preserve">Установка ИК-подсветки (встроенной/внешней)</t>
  </si>
  <si>
    <t xml:space="preserve">Дальность подсветки</t>
  </si>
  <si>
    <t xml:space="preserve">Установка кронштейнов, стоек, козырьков</t>
  </si>
  <si>
    <t xml:space="preserve">Антивандальные</t>
  </si>
  <si>
    <t xml:space="preserve">Проверка отсутствия мертвых зон</t>
  </si>
  <si>
    <t xml:space="preserve">По схеме покрытия</t>
  </si>
  <si>
    <t xml:space="preserve">Проверка защиты от прямых солнечных лучей</t>
  </si>
  <si>
    <t xml:space="preserve">Козырек, южная сторона</t>
  </si>
  <si>
    <t xml:space="preserve">Установка цифрового видеорегистратора (DVR/NVR)</t>
  </si>
  <si>
    <t xml:space="preserve">Кол-во каналов по проекту</t>
  </si>
  <si>
    <t xml:space="preserve">ГОСТ Р 51558-2014, разд. 6; ГОСТ Р 53245-2008 «Системы кабельные структурированные»</t>
  </si>
  <si>
    <t xml:space="preserve">Инженер-наладчик сетевого оборудования, среднее/высшее проф. образование в области телекоммуникаций</t>
  </si>
  <si>
    <t xml:space="preserve">ГОСТ Р 53245-2008, разд. 4</t>
  </si>
  <si>
    <t xml:space="preserve">Установка жестких дисков (HDD)</t>
  </si>
  <si>
    <t xml:space="preserve">Объем для срока хранения</t>
  </si>
  <si>
    <t xml:space="preserve">Установка монитора (ЖК/LED)</t>
  </si>
  <si>
    <t xml:space="preserve">Разрешение, диагональ</t>
  </si>
  <si>
    <t xml:space="preserve">Установка ИБП для серверного оборудования</t>
  </si>
  <si>
    <t xml:space="preserve">Время автономности</t>
  </si>
  <si>
    <t xml:space="preserve">Установка источника вторичного электропитания резервированного</t>
  </si>
  <si>
    <t xml:space="preserve">12В, 4А</t>
  </si>
  <si>
    <t xml:space="preserve">Установка аккумуляторных батарей (АКБ 7Ач)</t>
  </si>
  <si>
    <t xml:space="preserve">К ИБП</t>
  </si>
  <si>
    <t xml:space="preserve">Установка системного блока (для ПО видеонаблюдения)</t>
  </si>
  <si>
    <t xml:space="preserve">Процессор, RAM, ОС</t>
  </si>
  <si>
    <t xml:space="preserve">Установка клавиатуры и мыши</t>
  </si>
  <si>
    <t xml:space="preserve">USB/PS2</t>
  </si>
  <si>
    <t xml:space="preserve">Установка коммутатора (switch) для IP-камер</t>
  </si>
  <si>
    <t xml:space="preserve">PoE, кол-во портов</t>
  </si>
  <si>
    <t xml:space="preserve">Установка маршрутизатора (router) для удаленного доступа</t>
  </si>
  <si>
    <t xml:space="preserve">NAT, DDNS</t>
  </si>
  <si>
    <t xml:space="preserve">Прокладка кабеля комбинированного (КВК, коаксиал + питание)</t>
  </si>
  <si>
    <t xml:space="preserve">Для аналоговых камер</t>
  </si>
  <si>
    <t xml:space="preserve">СП 76.13330.2016; ГОСТ Р 53245-2008 (кабельные трассы СКС)</t>
  </si>
  <si>
    <t xml:space="preserve">Монтажник слаботочных сетей, среднее проф. образование</t>
  </si>
  <si>
    <t xml:space="preserve">СП 76.13330.2016, разд. 14</t>
  </si>
  <si>
    <t xml:space="preserve">Прокладка витой пары UTP/FTP Cat5e/Cat6</t>
  </si>
  <si>
    <t xml:space="preserve">Для IP-камер</t>
  </si>
  <si>
    <t xml:space="preserve">Прокладка оптического кабеля (для дальних трасс)</t>
  </si>
  <si>
    <t xml:space="preserve">Медиаконвертеры</t>
  </si>
  <si>
    <t xml:space="preserve">Укладка кабеля в гофрированные трубы ПВХ</t>
  </si>
  <si>
    <t xml:space="preserve">Диаметр 16-20 мм</t>
  </si>
  <si>
    <t xml:space="preserve">Укладка кабеля в кабель-каналы, мини-каналы</t>
  </si>
  <si>
    <t xml:space="preserve">25x16 мм (ECO)</t>
  </si>
  <si>
    <t xml:space="preserve">Затягивание проводов в проложенные трубы (первый провод)</t>
  </si>
  <si>
    <t xml:space="preserve">До 2,5 мм2</t>
  </si>
  <si>
    <t xml:space="preserve">Обжим разъемов BNC (для коаксиального кабеля)</t>
  </si>
  <si>
    <t xml:space="preserve">Качество обжима</t>
  </si>
  <si>
    <t xml:space="preserve">3.8</t>
  </si>
  <si>
    <t xml:space="preserve">Обжим разъемов RJ-45 (для витой пары)</t>
  </si>
  <si>
    <t xml:space="preserve">Тестер кабельный</t>
  </si>
  <si>
    <t xml:space="preserve">3.9</t>
  </si>
  <si>
    <t xml:space="preserve">Маркировка кабелей на обоих концах</t>
  </si>
  <si>
    <t xml:space="preserve">Соответствие схеме</t>
  </si>
  <si>
    <t xml:space="preserve">3.10</t>
  </si>
  <si>
    <t xml:space="preserve">Установка грозозащиты (для уличных камер)</t>
  </si>
  <si>
    <t xml:space="preserve">Разрядники</t>
  </si>
  <si>
    <t xml:space="preserve">Настройка разрешения видеокамер (ТВЛ/MP)</t>
  </si>
  <si>
    <t xml:space="preserve">420-600 ТВЛ минимум</t>
  </si>
  <si>
    <t xml:space="preserve">ГОСТ Р 51558-2014, разд. 7 «Методы испытаний»</t>
  </si>
  <si>
    <t xml:space="preserve">Инженер-наладчик систем охранного телевидения (СОТ), среднее/высшее проф. техническое образование</t>
  </si>
  <si>
    <t xml:space="preserve">ГОСТ Р 51558-2014, разд. 7</t>
  </si>
  <si>
    <t xml:space="preserve">Настройка частоты кадров (FPS)</t>
  </si>
  <si>
    <t xml:space="preserve">25 FPS реального времени</t>
  </si>
  <si>
    <t xml:space="preserve">Настройка кодека (H.264/H.265) и битрейта</t>
  </si>
  <si>
    <t xml:space="preserve">Оптимальный баланс</t>
  </si>
  <si>
    <t xml:space="preserve">Настройка режима записи (постоянная/по движению/по тревоге)</t>
  </si>
  <si>
    <t xml:space="preserve">Архивный период</t>
  </si>
  <si>
    <t xml:space="preserve">Настройка детектора движения и зон детекции</t>
  </si>
  <si>
    <t xml:space="preserve">Убрать ложные срабатывания</t>
  </si>
  <si>
    <t xml:space="preserve">Настройка ночного режима (день/ночь, ИК-фильтр)</t>
  </si>
  <si>
    <t xml:space="preserve">Автоматический переход</t>
  </si>
  <si>
    <t xml:space="preserve">Проверка удаленного доступа (Web, мобильное приложение)</t>
  </si>
  <si>
    <t xml:space="preserve">Port forwarding</t>
  </si>
  <si>
    <t xml:space="preserve">Проверка синхронизации времени (NTP)</t>
  </si>
  <si>
    <t xml:space="preserve">Часовой пояс</t>
  </si>
  <si>
    <t xml:space="preserve">Настройка резервного копирования архива</t>
  </si>
  <si>
    <t xml:space="preserve">FTP, облако</t>
  </si>
  <si>
    <t xml:space="preserve">По ГОСТ Р 51558-2000</t>
  </si>
  <si>
    <t xml:space="preserve">Проверка уровня освещенности во всех зонах контроля</t>
  </si>
  <si>
    <t xml:space="preserve">Люксметр</t>
  </si>
  <si>
    <t xml:space="preserve">ГОСТ Р 51558-2014 (приложение — методы измерения освещенности); РД 78.145-93</t>
  </si>
  <si>
    <t xml:space="preserve">Инженер по приемо-сдаточным испытаниям, высшее техническое образование</t>
  </si>
  <si>
    <t xml:space="preserve">РД 78.145-93, разд. 3</t>
  </si>
  <si>
    <t xml:space="preserve">Проверка четкости изображения (идентификация лиц/номеров)</t>
  </si>
  <si>
    <t xml:space="preserve">зона</t>
  </si>
  <si>
    <t xml:space="preserve">На расстоянии по ТЗ</t>
  </si>
  <si>
    <t xml:space="preserve">Проверка защиты серверного оборудования от доступа посторонних</t>
  </si>
  <si>
    <t xml:space="preserve">Замок на дверь</t>
  </si>
  <si>
    <t xml:space="preserve">Проверка наличия резервного питания для всего тракта</t>
  </si>
  <si>
    <t xml:space="preserve">цепь</t>
  </si>
  <si>
    <t xml:space="preserve">От камеры до регистратора</t>
  </si>
  <si>
    <t xml:space="preserve">ЧЕК-ЛИСТ ПОЛНОТЫ СОСТАВА РАБОТ: ПОЖАРНАЯ СИГНАЛИЗАЦИЯ (АУПС)</t>
  </si>
  <si>
    <t xml:space="preserve">Основано на смете: obrazec_smety_na_pozharno-ohrannuyu_signalizaciyu_fer + курсовая Николайченко</t>
  </si>
  <si>
    <t xml:space="preserve">Установка приемно-контрольного прибора (ППКП) базового</t>
  </si>
  <si>
    <t xml:space="preserve">На 20/50/100 лучей</t>
  </si>
  <si>
    <t xml:space="preserve">СП 5.13130.2009 «Установки пожарной сигнализации и пожаротушения автоматические»; ГОСТ Р 53325-2012 «Техника пожарная. ТС пожарной автоматики»</t>
  </si>
  <si>
    <t xml:space="preserve">Специалист, аттестованный по программе МЧС «Монтаж, техническое обслуживание и ремонт систем пожарной сигнализации», высшее/среднее образование, стаж ≥3 лет (не менее 50% штата) — лицензионное требование</t>
  </si>
  <si>
    <t xml:space="preserve">СП 5.13130.2009, разд. 13 «Приемно-контрольные приборы»; ПП РФ №1128 от 28.07.2020, п. 4</t>
  </si>
  <si>
    <t xml:space="preserve">Установка приемно-контрольного прибора на 4 луча (дополнительного)</t>
  </si>
  <si>
    <t xml:space="preserve">Для зонирования</t>
  </si>
  <si>
    <t xml:space="preserve">Установка блока питания (преобразователя) отдельно стоящего</t>
  </si>
  <si>
    <t xml:space="preserve">РИП-12, РИП-24</t>
  </si>
  <si>
    <t xml:space="preserve">Установка аккумуляторных батарей (АКБ 7Ач, 12В, 17Ач)</t>
  </si>
  <si>
    <t xml:space="preserve">Автономность 24ч</t>
  </si>
  <si>
    <t xml:space="preserve">Установка устройства управления и коммутации</t>
  </si>
  <si>
    <t xml:space="preserve">Релейные выходы</t>
  </si>
  <si>
    <t xml:space="preserve">Настройка адресной шины (при адресной системе)</t>
  </si>
  <si>
    <t xml:space="preserve">шлейф</t>
  </si>
  <si>
    <t xml:space="preserve">Каждый датчик с адресом</t>
  </si>
  <si>
    <t xml:space="preserve">Установка дымовых извещателей (оптико-электронных)</t>
  </si>
  <si>
    <t xml:space="preserve">ИП-212, ДИП, ИПД</t>
  </si>
  <si>
    <t xml:space="preserve">СП 5.13130.2009, разд. 13.3 «Размещение точечных дымовых пожарных извещателей»</t>
  </si>
  <si>
    <t xml:space="preserve">Лицензированный монтажник ОПС, среднее спец. образование по типовой программе МЧС</t>
  </si>
  <si>
    <t xml:space="preserve">СП 5.13130.2009, табл. 13.3–13.5</t>
  </si>
  <si>
    <t xml:space="preserve">Установка тепловых извещателей (максимальных/дифференциальных)</t>
  </si>
  <si>
    <t xml:space="preserve">ИП-101, ДИТ</t>
  </si>
  <si>
    <t xml:space="preserve">Установка ручных извещателей (пожарных кнопок)</t>
  </si>
  <si>
    <t xml:space="preserve">ИПР, выходы, эвакуация</t>
  </si>
  <si>
    <t xml:space="preserve">Установка пламенных извещателей (в зонах высокого риска)</t>
  </si>
  <si>
    <t xml:space="preserve">ИП-329, УФ/ИК</t>
  </si>
  <si>
    <t xml:space="preserve">Установка извещателей с газовым пожаротушением (в серверных)</t>
  </si>
  <si>
    <t xml:space="preserve">ИП 435, ИП-212-45</t>
  </si>
  <si>
    <t xml:space="preserve">Проверка высоты установки дымовых извещателей</t>
  </si>
  <si>
    <t xml:space="preserve">До 3,5 м от пола</t>
  </si>
  <si>
    <t xml:space="preserve">Проверка расстояния между дымовыми извещателями</t>
  </si>
  <si>
    <t xml:space="preserve">Не более 10,8 м</t>
  </si>
  <si>
    <t xml:space="preserve">Проверка расстояния от извещателя до стены</t>
  </si>
  <si>
    <t xml:space="preserve">Не более 5,4 м</t>
  </si>
  <si>
    <t xml:space="preserve">Проверка отсутствия мертвых зон под потолком</t>
  </si>
  <si>
    <t xml:space="preserve">помещение</t>
  </si>
  <si>
    <t xml:space="preserve">Схема покрытия</t>
  </si>
  <si>
    <t xml:space="preserve">Установка оповещателей звуковых (сирен, динамиков)</t>
  </si>
  <si>
    <t xml:space="preserve">Не менее 75 дБ</t>
  </si>
  <si>
    <t xml:space="preserve">СП 3.13130.2009 «Система оповещения и управления эвакуацией людей при пожаре» (заменил устаревший НПБ 104-03, упомянутый в листе)</t>
  </si>
  <si>
    <t xml:space="preserve">Инженер-проектировщик СОУЭ, высшее техническое образование</t>
  </si>
  <si>
    <t xml:space="preserve">СП 3.13130.2009, разд. 4–6</t>
  </si>
  <si>
    <t xml:space="preserve">Установка оповещателей световых (табло 'ВЫХОД')</t>
  </si>
  <si>
    <t xml:space="preserve">Зеленый цвет</t>
  </si>
  <si>
    <t xml:space="preserve">Установка оповещателей комбинированных (звук+свет)</t>
  </si>
  <si>
    <t xml:space="preserve">Со-3, Со-1</t>
  </si>
  <si>
    <t xml:space="preserve">Установка табло направления движения</t>
  </si>
  <si>
    <t xml:space="preserve">Стрелки, этажи</t>
  </si>
  <si>
    <t xml:space="preserve">Настройка сценария оповещения (по зонам, этажам)</t>
  </si>
  <si>
    <t xml:space="preserve">Таблица оповещения</t>
  </si>
  <si>
    <t xml:space="preserve">Настройка управления эвакуацией (включение освещения, открывание дверей)</t>
  </si>
  <si>
    <t xml:space="preserve">Интеграция со СКУД</t>
  </si>
  <si>
    <t xml:space="preserve">Настройка управления системой дымоудаления</t>
  </si>
  <si>
    <t xml:space="preserve">Клапаны, вентиляторы</t>
  </si>
  <si>
    <t xml:space="preserve">Настройка управления лифтами (при пожаре)</t>
  </si>
  <si>
    <t xml:space="preserve">Спуск на 1 этаж</t>
  </si>
  <si>
    <t xml:space="preserve">Прокладка кабеля пожарной сигнализации в коробах</t>
  </si>
  <si>
    <t xml:space="preserve">Металлические, огнестойкие</t>
  </si>
  <si>
    <t xml:space="preserve">СП 6.13130.2013 «Электрооборудование. Требования пожарной безопасности»; ПУЭ изд.7</t>
  </si>
  <si>
    <t xml:space="preserve">Электромонтажник с допуском на прокладку огнестойких кабельных линий, лицензированный специалист МЧС</t>
  </si>
  <si>
    <t xml:space="preserve">СП 6.13130.2013, разд. 5 «Кабельные линии»</t>
  </si>
  <si>
    <t xml:space="preserve">Прокладка кабеля сечением до 2,5 мм2 (сигнальные шлейфы)</t>
  </si>
  <si>
    <t xml:space="preserve">КСПВ, КПСВВ</t>
  </si>
  <si>
    <t xml:space="preserve">Прокладка кабеля питания 220В для оповещателей</t>
  </si>
  <si>
    <t xml:space="preserve">ВВГ, ВВГнг-LS</t>
  </si>
  <si>
    <t xml:space="preserve">Установка клеммных коробок огнестойких</t>
  </si>
  <si>
    <t xml:space="preserve">IP-рейтинг</t>
  </si>
  <si>
    <t xml:space="preserve">Прокладка кабеля с плаenum-рейтингом (в вентиляционных зазорах)</t>
  </si>
  <si>
    <t xml:space="preserve">FRHF, FRLS</t>
  </si>
  <si>
    <t xml:space="preserve">Маркировка шлейфов сигнализации</t>
  </si>
  <si>
    <t xml:space="preserve">Программирование ППКП (зоны, шлейфы, адреса)</t>
  </si>
  <si>
    <t xml:space="preserve">прибор</t>
  </si>
  <si>
    <t xml:space="preserve">Таблица шлейфов</t>
  </si>
  <si>
    <t xml:space="preserve">СП 5.13130.2009, разд. 15 «Пусконаладочные работы»; ГОСТ Р 53325-2012, разд. 7 «Методы испытаний»</t>
  </si>
  <si>
    <t xml:space="preserve">Ответственный специалист лицензиата: высшее техническое образование, стаж ≥3 лет, ПК раз в 5 лет</t>
  </si>
  <si>
    <t xml:space="preserve">СП 5.13130.2009, разд. 15; ПП РФ №1128, п. 6</t>
  </si>
  <si>
    <t xml:space="preserve">Проверка чувствительности дымовых извещателей (дымовая камера)</t>
  </si>
  <si>
    <t xml:space="preserve">Порог срабатывания</t>
  </si>
  <si>
    <t xml:space="preserve">Проверка срабатывания тепловых извещателей (тепловой пистолет)</t>
  </si>
  <si>
    <t xml:space="preserve">Порог +54/+70°C</t>
  </si>
  <si>
    <t xml:space="preserve">Проверка работы ручных извещателей</t>
  </si>
  <si>
    <t xml:space="preserve">Сброс и повторная активация</t>
  </si>
  <si>
    <t xml:space="preserve">Проверка звукового и светового оповещения</t>
  </si>
  <si>
    <t xml:space="preserve">Уровень шума, видимость</t>
  </si>
  <si>
    <t xml:space="preserve">5.6</t>
  </si>
  <si>
    <t xml:space="preserve">Проверка передачи сигнала на пульт пожарной охраны (ПЦН)</t>
  </si>
  <si>
    <t xml:space="preserve">канал</t>
  </si>
  <si>
    <t xml:space="preserve">GPRS, Ethernet, телефон</t>
  </si>
  <si>
    <t xml:space="preserve">5.7</t>
  </si>
  <si>
    <t xml:space="preserve">Проверка работы ИБП и автономности системы</t>
  </si>
  <si>
    <t xml:space="preserve">система</t>
  </si>
  <si>
    <t xml:space="preserve">24 часа минимум</t>
  </si>
  <si>
    <t xml:space="preserve">5.8</t>
  </si>
  <si>
    <t xml:space="preserve">Проверка заряда аккумуляторов</t>
  </si>
  <si>
    <t xml:space="preserve">АКБ</t>
  </si>
  <si>
    <t xml:space="preserve">Напряжение под нагрузкой</t>
  </si>
  <si>
    <t xml:space="preserve">5.9</t>
  </si>
  <si>
    <t xml:space="preserve">Проверка целостности шлейфов (сопротивление, КЗ, обрыв)</t>
  </si>
  <si>
    <t xml:space="preserve">Омметр</t>
  </si>
  <si>
    <t xml:space="preserve">5.10</t>
  </si>
  <si>
    <t xml:space="preserve">Контрольные и приемо-сдаточные испытания (по НПБ)</t>
  </si>
  <si>
    <t xml:space="preserve">Акт МЧС</t>
  </si>
  <si>
    <t xml:space="preserve">6.1</t>
  </si>
  <si>
    <t xml:space="preserve">Соответствие проекта НПБ 104-03 (системы пожарной сигнализации)</t>
  </si>
  <si>
    <t xml:space="preserve">ФЗ №123-ФЗ «Технический регламент о требованиях пожарной безопасности»; ПП РФ №1128 от 28.07.2020; ГОСТ Р 53325-2012</t>
  </si>
  <si>
    <t xml:space="preserve">Ответственное должностное лицо лицензиата, высшее образование в сфере пожарной безопасности</t>
  </si>
  <si>
    <t xml:space="preserve">ФЗ №123-ФЗ, ст. 83; ПП РФ №1128, разд. II</t>
  </si>
  <si>
    <t xml:space="preserve">6.2</t>
  </si>
  <si>
    <t xml:space="preserve">Соответствие проекта СП 3.13130 (системы оповещения)</t>
  </si>
  <si>
    <t xml:space="preserve">6.3</t>
  </si>
  <si>
    <t xml:space="preserve">Соответствие проекта ГОСТ Р 53325 (приборы пожарные)</t>
  </si>
  <si>
    <t xml:space="preserve">6.4</t>
  </si>
  <si>
    <t xml:space="preserve">Согласование проекта в МЧС (если требуется)</t>
  </si>
  <si>
    <t xml:space="preserve">6.5</t>
  </si>
  <si>
    <t xml:space="preserve">Проверка наличия сертификатов на все приборы</t>
  </si>
  <si>
    <t xml:space="preserve">ЧЕК-ЛИСТ ПОЛНОТЫ СОСТАВА РАБОТ: ОХРАННАЯ СИГНАЛИЗАЦИЯ (ОС)</t>
  </si>
  <si>
    <t xml:space="preserve">Основано на смете: obrazec_smety_na_ohrannuyu_signalizaciyu_2</t>
  </si>
  <si>
    <t xml:space="preserve">Установка системного блока (компьютера АРМ)</t>
  </si>
  <si>
    <t xml:space="preserve">Масса до 15 кг, процессор, RAM</t>
  </si>
  <si>
    <t xml:space="preserve">ГОСТ Р 52435-2015 «ТС охранной сигнализации. Классификация. Общие технические требования»; РД 78.145-93</t>
  </si>
  <si>
    <t xml:space="preserve">Инженер-программист систем ОС, среднее/высшее проф. образование</t>
  </si>
  <si>
    <t xml:space="preserve">ГОСТ Р 52435-2015, разд. 5</t>
  </si>
  <si>
    <t xml:space="preserve">Установка монитора (LCD/LED)</t>
  </si>
  <si>
    <t xml:space="preserve">Диагональ 19" и более</t>
  </si>
  <si>
    <t xml:space="preserve">Установка ПО 'Орион Про' / 'Андромеду' / аналога</t>
  </si>
  <si>
    <t xml:space="preserve">Сервер + АРМ</t>
  </si>
  <si>
    <t xml:space="preserve">Установка ПО АБД (администратора базы данных)</t>
  </si>
  <si>
    <t xml:space="preserve">Лицензия</t>
  </si>
  <si>
    <t xml:space="preserve">Установка преобразователя интерфейса (USB/RS-485)</t>
  </si>
  <si>
    <t xml:space="preserve">С2000-USB, С2000-ACPI</t>
  </si>
  <si>
    <t xml:space="preserve">Установка пульта контроля и управления (С2000М)</t>
  </si>
  <si>
    <t xml:space="preserve">ЖК-экран, клавиатура</t>
  </si>
  <si>
    <t xml:space="preserve">Настройка связи ПК с приборами (порт, протокол)</t>
  </si>
  <si>
    <t xml:space="preserve">RS-232/RS-485/Ethernet</t>
  </si>
  <si>
    <t xml:space="preserve">Установка приемно-контрольного прибора (С2000-4)</t>
  </si>
  <si>
    <t xml:space="preserve">На 4 луча</t>
  </si>
  <si>
    <t xml:space="preserve">ГОСТ Р 52435-2015, разд. 6; Р 78.36.008-99 «Требования и рекомендации по проектированию систем ОПС» (НИЦ «Охрана»)</t>
  </si>
  <si>
    <t xml:space="preserve">Монтажник ОПС со специальной подготовкой, среднее проф.-техн. образование</t>
  </si>
  <si>
    <t xml:space="preserve">Р 78.36.008-99, разд. 4</t>
  </si>
  <si>
    <t xml:space="preserve">Установка приемно-контрольного прибора (С2000-КДЛ)</t>
  </si>
  <si>
    <t xml:space="preserve">Для адресных датчиков</t>
  </si>
  <si>
    <t xml:space="preserve">Установка релейного модуля (С2000-СП1, С2000-СП2)</t>
  </si>
  <si>
    <t xml:space="preserve">Управление исполнительными устройствами</t>
  </si>
  <si>
    <t xml:space="preserve">Установка промежуточных устройств (расширителей)</t>
  </si>
  <si>
    <t xml:space="preserve">На количество лучей</t>
  </si>
  <si>
    <t xml:space="preserve">Настройка приборов (адреса, разделы, зоны)</t>
  </si>
  <si>
    <t xml:space="preserve">Таблица настроек</t>
  </si>
  <si>
    <t xml:space="preserve">Установка ИК-извещателей (пассивных/активных)</t>
  </si>
  <si>
    <t xml:space="preserve">Фотон-9, Астра, ИК-прожектор</t>
  </si>
  <si>
    <t xml:space="preserve">ГОСТ Р 52435-2015, разд. 7 «Извещатели охранные»</t>
  </si>
  <si>
    <t xml:space="preserve">Монтажник ОПС, среднее проф. образование</t>
  </si>
  <si>
    <t xml:space="preserve">ГОСТ Р 52435-2015, табл. 2</t>
  </si>
  <si>
    <t xml:space="preserve">Установка магнитоконтактных извещателей (герконов)</t>
  </si>
  <si>
    <t xml:space="preserve">На двери, окна, люки</t>
  </si>
  <si>
    <t xml:space="preserve">Установка вибрационных/ударных извещателей</t>
  </si>
  <si>
    <t xml:space="preserve">На стены, сейфы, стекла</t>
  </si>
  <si>
    <t xml:space="preserve">Установка извещателей разбития стекла (акустических)</t>
  </si>
  <si>
    <t xml:space="preserve">Стекло-3, АСТ-101</t>
  </si>
  <si>
    <t xml:space="preserve">Установка объемных радиоволновых извещателей</t>
  </si>
  <si>
    <t xml:space="preserve">Для помещений</t>
  </si>
  <si>
    <t xml:space="preserve">Установка комбинированных (ИК + микроволна) извещателей</t>
  </si>
  <si>
    <t xml:space="preserve">Для сложных условий</t>
  </si>
  <si>
    <t xml:space="preserve">Установка извещателей на открывание дверей/окон</t>
  </si>
  <si>
    <t xml:space="preserve">Магнитоконтактные</t>
  </si>
  <si>
    <t xml:space="preserve">Настройка зон чувствительности</t>
  </si>
  <si>
    <t xml:space="preserve">Без ложных срабатываний</t>
  </si>
  <si>
    <t xml:space="preserve">Проверка зон покрытия каждого извещателя</t>
  </si>
  <si>
    <t xml:space="preserve">По плану помещения</t>
  </si>
  <si>
    <t xml:space="preserve">Установка блока питания резервированного (БИРП 12/4, БИРП 24/2)</t>
  </si>
  <si>
    <t xml:space="preserve">С зарядным устройством</t>
  </si>
  <si>
    <t xml:space="preserve">ГОСТ Р 52435-2015 (источники питания); ПУЭ изд.7, гл. 1.7</t>
  </si>
  <si>
    <t xml:space="preserve">Электромонтажник, допуск по электробезопасности гр. III</t>
  </si>
  <si>
    <t xml:space="preserve">ПУЭ, п. 1.7.101</t>
  </si>
  <si>
    <t xml:space="preserve">Установка аккумуляторных батарей (АКБ 7Ач, 12Ач, 17Ач)</t>
  </si>
  <si>
    <t xml:space="preserve">Автономность по ТЗ</t>
  </si>
  <si>
    <t xml:space="preserve">Подключение питания 220В к блокам питания</t>
  </si>
  <si>
    <t xml:space="preserve">Через автомат</t>
  </si>
  <si>
    <t xml:space="preserve">Проверка времени автономной работы</t>
  </si>
  <si>
    <t xml:space="preserve">Не менее 24 часов</t>
  </si>
  <si>
    <t xml:space="preserve">Проверка защиты от глубокого разряда АКБ</t>
  </si>
  <si>
    <t xml:space="preserve">Автоотключение</t>
  </si>
  <si>
    <t xml:space="preserve">Прокладка кабеля сигнального (в коробах, трубах)</t>
  </si>
  <si>
    <t xml:space="preserve">КСПВ 4x0,5</t>
  </si>
  <si>
    <t xml:space="preserve">СП 76.13330.2016</t>
  </si>
  <si>
    <t xml:space="preserve">Монтажник слаботочных систем, среднее проф. образование</t>
  </si>
  <si>
    <t xml:space="preserve">Прокладка кабеля питания 12В от БП к приборам</t>
  </si>
  <si>
    <t xml:space="preserve">Установка клеммных коробок и соединителей</t>
  </si>
  <si>
    <t xml:space="preserve">Мегаомметр</t>
  </si>
  <si>
    <t xml:space="preserve">Программирование приборов (разделы, зоны, ключи)</t>
  </si>
  <si>
    <t xml:space="preserve">По проекту охраны</t>
  </si>
  <si>
    <t xml:space="preserve">ГОСТ Р 52435-2015, разд. 8 «Методы испытаний»; РД 78.145-93, разд. 3. Лицензия Росгвардии (ФЗ №2487-1) требуется только при оказании услуг мониторинга/реагирования, не для монтажа ТС</t>
  </si>
  <si>
    <t xml:space="preserve">Инженер-наладчик ОС / ответственный специалист, высшее/среднее техническое образование</t>
  </si>
  <si>
    <t xml:space="preserve">РД 78.145-93, разд. 3 «Приемка работ»</t>
  </si>
  <si>
    <t xml:space="preserve">Настройка сценариев реакции на тревогу (сирена, свет, GSM)</t>
  </si>
  <si>
    <t xml:space="preserve">Настройка постановки/снятия с охраны (коды, карты, ключи)</t>
  </si>
  <si>
    <t xml:space="preserve">Права доступа</t>
  </si>
  <si>
    <t xml:space="preserve">Проверка работы каждого извещателя (симуляция вторжения)</t>
  </si>
  <si>
    <t xml:space="preserve">Все типы датчиков</t>
  </si>
  <si>
    <t xml:space="preserve">Проверка работы релейных модулей (включение сирены, света)</t>
  </si>
  <si>
    <t xml:space="preserve">Нагрузка</t>
  </si>
  <si>
    <t xml:space="preserve">6.6</t>
  </si>
  <si>
    <t xml:space="preserve">Проверка передачи сигнала на пульт централизованного наблюдения (ПЦН)</t>
  </si>
  <si>
    <t xml:space="preserve">Ethernet, GSM, телефон</t>
  </si>
  <si>
    <t xml:space="preserve">6.7</t>
  </si>
  <si>
    <t xml:space="preserve">Проверка автономной работы (отключение 220В)</t>
  </si>
  <si>
    <t xml:space="preserve">Переключение на АКБ</t>
  </si>
  <si>
    <t xml:space="preserve">6.8</t>
  </si>
  <si>
    <t xml:space="preserve">Проверка защиты от КЗ и обрыва шлейфов</t>
  </si>
  <si>
    <t xml:space="preserve">Сигнал неисправности</t>
  </si>
  <si>
    <t xml:space="preserve">6.9</t>
  </si>
  <si>
    <t xml:space="preserve">Проверка журнала событий (запись всех тревог)</t>
  </si>
  <si>
    <t xml:space="preserve">Время, дата, раздел</t>
  </si>
  <si>
    <t xml:space="preserve">6.10</t>
  </si>
  <si>
    <t xml:space="preserve">По ГОСТ и ТЗ</t>
  </si>
  <si>
    <t xml:space="preserve">ЧЕК-ЛИСТ ПОЛНОТЫ СОСТАВА РАБОТ: ГИБРИДНЫЕ СИСТЕМЫ БЕЗОПАСНОСТИ</t>
  </si>
  <si>
    <t xml:space="preserve">Системы, включающие в себя комбинации СКУД + Видео, Охранная + Пожарная, и полный комплекс</t>
  </si>
  <si>
    <t xml:space="preserve">Входит в состав</t>
  </si>
  <si>
    <t xml:space="preserve">Разработка единого технического задания на весь комплекс</t>
  </si>
  <si>
    <t xml:space="preserve">Все комбинации</t>
  </si>
  <si>
    <t xml:space="preserve">Единое ТЗ</t>
  </si>
  <si>
    <t xml:space="preserve">ГОСТ Р 53704-2009 «Системы безопасности комплексные и интегрированные. Общие технические требования»; СП 132.13330.2011</t>
  </si>
  <si>
    <t xml:space="preserve">Главный инженер проекта (ГИП) интегрированных систем безопасности, высшее техническое образование, опыт ≥5 лет</t>
  </si>
  <si>
    <t xml:space="preserve">ГОСТ Р 53704-2009, разд. 5 «Общие технические требования к ИСБ»</t>
  </si>
  <si>
    <t xml:space="preserve">Разработка единой схемы интеграции систем</t>
  </si>
  <si>
    <t xml:space="preserve">Структурная схема</t>
  </si>
  <si>
    <t xml:space="preserve">Согласование протоколов обмена данными между системами</t>
  </si>
  <si>
    <t xml:space="preserve">OPC, SDK, API</t>
  </si>
  <si>
    <t xml:space="preserve">Выбор единой платформы управления (VMS/PSIM)</t>
  </si>
  <si>
    <t xml:space="preserve">Milestone, Axxon, Орион</t>
  </si>
  <si>
    <t xml:space="preserve">Проверка совместимости оборудования разных подсистем</t>
  </si>
  <si>
    <t xml:space="preserve">Матрица совместимости</t>
  </si>
  <si>
    <t xml:space="preserve">Единая система электропитания с резервированием</t>
  </si>
  <si>
    <t xml:space="preserve">ИБП для всего комплекса</t>
  </si>
  <si>
    <t xml:space="preserve">Единая кабельная инфраструктура (структурированная cabling)</t>
  </si>
  <si>
    <t xml:space="preserve">СКС, Ethernet</t>
  </si>
  <si>
    <t xml:space="preserve">Единая система заземления и молниезащиты</t>
  </si>
  <si>
    <t xml:space="preserve">Координация графика работ всех подрядчиков</t>
  </si>
  <si>
    <t xml:space="preserve">Microsoft Project</t>
  </si>
  <si>
    <t xml:space="preserve">Единая исполнительная документация</t>
  </si>
  <si>
    <t xml:space="preserve">Сводный акт</t>
  </si>
  <si>
    <t xml:space="preserve">Установка IP-камер на точках доступа (дверях, турникетах)</t>
  </si>
  <si>
    <t xml:space="preserve">СКУД+Видео</t>
  </si>
  <si>
    <t xml:space="preserve">Для идентификации</t>
  </si>
  <si>
    <t xml:space="preserve">ГОСТ Р 51241-2008 + ГОСТ Р 51558-2014 (совместное применение); ГОСТ Р 53704-2009</t>
  </si>
  <si>
    <t xml:space="preserve">Инженер-интегратор СКУД/видео, высшее техническое образование</t>
  </si>
  <si>
    <t xml:space="preserve">ГОСТ Р 53704-2009, разд. 6</t>
  </si>
  <si>
    <t xml:space="preserve">Настройка привязки видеоканала к событию СКУД (проход/тревога)</t>
  </si>
  <si>
    <t xml:space="preserve">Архив по событию</t>
  </si>
  <si>
    <t xml:space="preserve">Настройка записи видео при несанкционированном проходе</t>
  </si>
  <si>
    <t xml:space="preserve">Детектор + СКУД</t>
  </si>
  <si>
    <t xml:space="preserve">Настройка видеоверификации (сравнение лица с картой)</t>
  </si>
  <si>
    <t xml:space="preserve">Биометрия + видео</t>
  </si>
  <si>
    <t xml:space="preserve">Настройка антипассбека (контроль направления по камере)</t>
  </si>
  <si>
    <t xml:space="preserve">Видеоаналитика</t>
  </si>
  <si>
    <t xml:space="preserve">Настройка подсчета посетителей (Counting) по СКУД+видео</t>
  </si>
  <si>
    <t xml:space="preserve">Точность 98%+</t>
  </si>
  <si>
    <t xml:space="preserve">Установка домофонов с видео на входной группе</t>
  </si>
  <si>
    <t xml:space="preserve">IP-домофония</t>
  </si>
  <si>
    <t xml:space="preserve">Интеграция с лифтовой системой (контроль этажей + видео)</t>
  </si>
  <si>
    <t xml:space="preserve">По ключу — этаж</t>
  </si>
  <si>
    <t xml:space="preserve">Единый сервер видео и СКУД (или кластер серверов)</t>
  </si>
  <si>
    <t xml:space="preserve">RAID, резервирование</t>
  </si>
  <si>
    <t xml:space="preserve">Установка комбинированных извещателей (дым + ИК)</t>
  </si>
  <si>
    <t xml:space="preserve">Охрана+Пожар</t>
  </si>
  <si>
    <t xml:space="preserve">Мульти-датчики</t>
  </si>
  <si>
    <t xml:space="preserve">СП 5.13130.2009 + ГОСТ Р 52435-2015 (совместное применение); приоритизация тревог — СП 5.13130.2009</t>
  </si>
  <si>
    <t xml:space="preserve">Лицензированный специалист МЧС (пожарный контур, обязателен допуск по ПП №1128) совместно с инженером ОС</t>
  </si>
  <si>
    <t xml:space="preserve">СП 5.13130.2009, разд. 14 «Приоритезация сигналов»</t>
  </si>
  <si>
    <t xml:space="preserve">Настройка раздельных режимов: охрана днем, охрана+пожар ночью</t>
  </si>
  <si>
    <t xml:space="preserve">Настройка приоритета пожарной тревоги над охранной</t>
  </si>
  <si>
    <t xml:space="preserve">Пожар = максимум</t>
  </si>
  <si>
    <t xml:space="preserve">Настройка автооткрывания дверей при пожаре (СКУД + пожар)</t>
  </si>
  <si>
    <t xml:space="preserve">Охрана+Пожар+СКУД</t>
  </si>
  <si>
    <t xml:space="preserve">Реле пожаротушения</t>
  </si>
  <si>
    <t xml:space="preserve">Настройка отключения охраны на путях эвакуации при пожаре</t>
  </si>
  <si>
    <t xml:space="preserve">Шлейф эвакуации</t>
  </si>
  <si>
    <t xml:space="preserve">Настройка включения видеозаписи при пожарной тревоге</t>
  </si>
  <si>
    <t xml:space="preserve">Охрана+Пожар+Видео</t>
  </si>
  <si>
    <t xml:space="preserve">Архив тревоги</t>
  </si>
  <si>
    <t xml:space="preserve">Настройка передачи сигнала на ПЦН (МЧС + ЧОП)</t>
  </si>
  <si>
    <t xml:space="preserve">Разные каналы</t>
  </si>
  <si>
    <t xml:space="preserve">Единый прибор ППКОП (приемно-контрольный охранно-пожарный)</t>
  </si>
  <si>
    <t xml:space="preserve">С2000, Рубеж</t>
  </si>
  <si>
    <t xml:space="preserve">Настройка разделения шлейфов на охранные и пожарные</t>
  </si>
  <si>
    <t xml:space="preserve">В одном приборе</t>
  </si>
  <si>
    <t xml:space="preserve">Проверка работы системы при комбинированной тревоге</t>
  </si>
  <si>
    <t xml:space="preserve">Сценарий эвакуации</t>
  </si>
  <si>
    <t xml:space="preserve">Единая платформа PSIM (Physical Security Information Management)</t>
  </si>
  <si>
    <t xml:space="preserve">Полный комплекс</t>
  </si>
  <si>
    <t xml:space="preserve">Milestone, Genetec</t>
  </si>
  <si>
    <t xml:space="preserve">ГОСТ Р 53704-2009, разд. 6 «Интегрированные системы»; ГОСТ Р 52551-2016 «Термины и определения»</t>
  </si>
  <si>
    <t xml:space="preserve">Системный интегратор/архитектор ИСБ, высшее техническое или ИТ-образование</t>
  </si>
  <si>
    <t xml:space="preserve">Настройка единого графического интерфейса (планы + камеры + зоны)</t>
  </si>
  <si>
    <t xml:space="preserve">3D/2D планы</t>
  </si>
  <si>
    <t xml:space="preserve">Настройка единого журнала событий всех подсистем</t>
  </si>
  <si>
    <t xml:space="preserve">Временная шкала</t>
  </si>
  <si>
    <t xml:space="preserve">Настройка корреляции событий (связь СКУД+видео+датчики)</t>
  </si>
  <si>
    <t xml:space="preserve">Умные алгоритмы</t>
  </si>
  <si>
    <t xml:space="preserve">Настройка автоматических сценариев (пожар → открыть двери + видео + СМС)</t>
  </si>
  <si>
    <t xml:space="preserve">Цепочка действий</t>
  </si>
  <si>
    <t xml:space="preserve">Настройка резервирования серверов (кластер, failover)</t>
  </si>
  <si>
    <t xml:space="preserve">Безотказность 99,9%</t>
  </si>
  <si>
    <t xml:space="preserve">Настройка удаленного мониторинга (Web, мобильное приложение)</t>
  </si>
  <si>
    <t xml:space="preserve">Push-уведомления</t>
  </si>
  <si>
    <t xml:space="preserve">Интеграция с СКУД (открывание дверей при пожаре + видеофиксация)</t>
  </si>
  <si>
    <t xml:space="preserve">Реле + камера</t>
  </si>
  <si>
    <t xml:space="preserve">Интеграция с ОПС (охрана зон + пожар + видеоверификация)</t>
  </si>
  <si>
    <t xml:space="preserve">Подтверждение тревоги</t>
  </si>
  <si>
    <t xml:space="preserve">Интеграция с системой оповещения (выборочное оповещение по зонам)</t>
  </si>
  <si>
    <t xml:space="preserve">Синхронизация</t>
  </si>
  <si>
    <t xml:space="preserve">4.11</t>
  </si>
  <si>
    <t xml:space="preserve">Проведение комплексных испытаний всех подсистем</t>
  </si>
  <si>
    <t xml:space="preserve">По очереди, совместно</t>
  </si>
  <si>
    <t xml:space="preserve">4.12</t>
  </si>
  <si>
    <t xml:space="preserve">Составление сводного акта ввода в эксплуатацию</t>
  </si>
  <si>
    <t xml:space="preserve">Все подписи</t>
  </si>
  <si>
    <t xml:space="preserve">Забыли про резервирование питания для ВСЕХ подсистем</t>
  </si>
  <si>
    <t xml:space="preserve">Все</t>
  </si>
  <si>
    <t xml:space="preserve">Проверить ИБП</t>
  </si>
  <si>
    <t xml:space="preserve">РД 78.145-93, разд. «Приемка работ»; ГОСТ Р 53704-2009</t>
  </si>
  <si>
    <t xml:space="preserve">Ответственный производитель работ / технический аудитор проекта, высшее техническое образование</t>
  </si>
  <si>
    <t xml:space="preserve">Несовместимость протоколов оборудования разных производителей</t>
  </si>
  <si>
    <t xml:space="preserve">Проверить заранее</t>
  </si>
  <si>
    <t xml:space="preserve">Перегрузка сети Ethernet (не хватает пропускной способности)</t>
  </si>
  <si>
    <t xml:space="preserve">IP-системы</t>
  </si>
  <si>
    <t xml:space="preserve">Гигабитный коммутатор</t>
  </si>
  <si>
    <t xml:space="preserve">Забыли про лицензии на интеграцию в ПО</t>
  </si>
  <si>
    <t xml:space="preserve">Доп. модули = доп. деньги</t>
  </si>
  <si>
    <t xml:space="preserve">Отсутствие единой системы мониторинга (каждая система отдельно)</t>
  </si>
  <si>
    <t xml:space="preserve">PSIM платформа</t>
  </si>
  <si>
    <t xml:space="preserve">Неправильная приоритизация тревог (пожар не максимальный)</t>
  </si>
  <si>
    <t xml:space="preserve">Пожар+Охрана</t>
  </si>
  <si>
    <t xml:space="preserve">Проверить настройки</t>
  </si>
  <si>
    <t xml:space="preserve">Забыли про обучение персонала работе с гибридной системой</t>
  </si>
  <si>
    <t xml:space="preserve">Инструкции, практика</t>
  </si>
  <si>
    <t xml:space="preserve">Отсутствие документации по интеграции</t>
  </si>
  <si>
    <t xml:space="preserve">Схемы, пароли, IP</t>
  </si>
  <si>
    <t xml:space="preserve">СВОДНЫЙ ЧЕК-ЛИСТ ПРОВЕРКИ ПОЛНОТЫ СОСТАВА РАБОТ</t>
  </si>
  <si>
    <t xml:space="preserve">Отметьте галочкой, данный пункт входит в проект: (+) — входит, (-) — не входит, (н/п) — не применимо</t>
  </si>
  <si>
    <t xml:space="preserve">Наименование контрольной точки</t>
  </si>
  <si>
    <t xml:space="preserve">СКУД</t>
  </si>
  <si>
    <t xml:space="preserve">Видео</t>
  </si>
  <si>
    <t xml:space="preserve">Пожар</t>
  </si>
  <si>
    <t xml:space="preserve">Охрана</t>
  </si>
  <si>
    <t xml:space="preserve">Гибрид</t>
  </si>
  <si>
    <t xml:space="preserve">Предпроектное обследование объекта</t>
  </si>
  <si>
    <t xml:space="preserve">+</t>
  </si>
  <si>
    <t xml:space="preserve">Разработка технического задания</t>
  </si>
  <si>
    <t xml:space="preserve">Разработка рабочей документации (чертежи, схемы)</t>
  </si>
  <si>
    <t xml:space="preserve">Подбор и закупка оборудования</t>
  </si>
  <si>
    <t xml:space="preserve">Проверка сертификатов и лицензий</t>
  </si>
  <si>
    <t xml:space="preserve">Подготовка инструмента и расходников</t>
  </si>
  <si>
    <t xml:space="preserve">Инструктаж по технике безопасности</t>
  </si>
  <si>
    <t xml:space="preserve">Монтаж контроллеров / приемно-контрольных приборов</t>
  </si>
  <si>
    <t xml:space="preserve">-</t>
  </si>
  <si>
    <t xml:space="preserve">Монтаж считывателей / карт-ридеров</t>
  </si>
  <si>
    <t xml:space="preserve">Монтаж электромагнитных / электромеханических замков</t>
  </si>
  <si>
    <t xml:space="preserve">Монтаж кнопок выхода / антипаники</t>
  </si>
  <si>
    <t xml:space="preserve">Монтаж турникетов / шлагбаумов / калиток</t>
  </si>
  <si>
    <t xml:space="preserve">Монтаж видеокамер (внутренних / уличных / поворотных)</t>
  </si>
  <si>
    <t xml:space="preserve">Монтаж видеорегистратора (DVR/NVR)</t>
  </si>
  <si>
    <t xml:space="preserve">Монтаж мониторов и АРМ оператора</t>
  </si>
  <si>
    <t xml:space="preserve">Монтаж дымовых извещателей</t>
  </si>
  <si>
    <t xml:space="preserve">Монтаж тепловых извещателей</t>
  </si>
  <si>
    <t xml:space="preserve">Монтаж ручных пожарных извещателей</t>
  </si>
  <si>
    <t xml:space="preserve">Монтаж охранных ИК-извещателей</t>
  </si>
  <si>
    <t xml:space="preserve">Монтаж магнитоконтактных извещателей</t>
  </si>
  <si>
    <t xml:space="preserve">II.14</t>
  </si>
  <si>
    <t xml:space="preserve">Монтаж извещателей разбития стекла</t>
  </si>
  <si>
    <t xml:space="preserve">II.15</t>
  </si>
  <si>
    <t xml:space="preserve">Монтаж блоков питания (в т.ч. резервированных)</t>
  </si>
  <si>
    <t xml:space="preserve">II.16</t>
  </si>
  <si>
    <t xml:space="preserve">Монтаж аккумуляторных батарей (АКБ)</t>
  </si>
  <si>
    <t xml:space="preserve">II.17</t>
  </si>
  <si>
    <t xml:space="preserve">Монтаж приборов оповещения (свет/звук)</t>
  </si>
  <si>
    <t xml:space="preserve">II.18</t>
  </si>
  <si>
    <t xml:space="preserve">Прокладка кабель-каналов / коробов / труб</t>
  </si>
  <si>
    <t xml:space="preserve">Прокладка силового кабеля (питание 220В)</t>
  </si>
  <si>
    <t xml:space="preserve">Прокладка сигнального кабеля (шлейфы, интерфейс)</t>
  </si>
  <si>
    <t xml:space="preserve">Прокладка витой пары (UTP/FTP)</t>
  </si>
  <si>
    <t xml:space="preserve">Прокладка коаксиального кабеля (для аналоговых камер)</t>
  </si>
  <si>
    <t xml:space="preserve">н/п</t>
  </si>
  <si>
    <t xml:space="preserve">Обжим разъемов и подключение клемм</t>
  </si>
  <si>
    <t xml:space="preserve">Маркировка кабелей</t>
  </si>
  <si>
    <t xml:space="preserve">Заделка штроб и восстановление отделки</t>
  </si>
  <si>
    <t xml:space="preserve">Программирование контроллеров / приборов</t>
  </si>
  <si>
    <t xml:space="preserve">Установка и настройка ПО управления</t>
  </si>
  <si>
    <t xml:space="preserve">Настройка видеокамер (разрешение, FPS, кодек)</t>
  </si>
  <si>
    <t xml:space="preserve">Настройка детектора движения и зон</t>
  </si>
  <si>
    <t xml:space="preserve">Настройка уровней доступа / временных зон</t>
  </si>
  <si>
    <t xml:space="preserve">Регистрация пользователей / карт</t>
  </si>
  <si>
    <t xml:space="preserve">IV.7</t>
  </si>
  <si>
    <t xml:space="preserve">Настройка сценариев реакции на события</t>
  </si>
  <si>
    <t xml:space="preserve">IV.8</t>
  </si>
  <si>
    <t xml:space="preserve">Проверка чувствительности извещателей</t>
  </si>
  <si>
    <t xml:space="preserve">IV.9</t>
  </si>
  <si>
    <t xml:space="preserve">Проверка работы каждого устройства поштучно</t>
  </si>
  <si>
    <t xml:space="preserve">IV.10</t>
  </si>
  <si>
    <t xml:space="preserve">Проверка интеграции подсистем (для гибрида)</t>
  </si>
  <si>
    <t xml:space="preserve">IV.11</t>
  </si>
  <si>
    <t xml:space="preserve">Проверка передачи на ПЦН / в МЧС</t>
  </si>
  <si>
    <t xml:space="preserve">IV.12</t>
  </si>
  <si>
    <t xml:space="preserve">Проверка автономной работы от АКБ</t>
  </si>
  <si>
    <t xml:space="preserve">46</t>
  </si>
  <si>
    <t xml:space="preserve">Комплексные приемо-сдаточные испытания</t>
  </si>
  <si>
    <t xml:space="preserve">47</t>
  </si>
  <si>
    <t xml:space="preserve">Составление исполнительной документации</t>
  </si>
  <si>
    <t xml:space="preserve">48</t>
  </si>
  <si>
    <t xml:space="preserve">Обучение персонала Заказчика</t>
  </si>
  <si>
    <t xml:space="preserve">49</t>
  </si>
  <si>
    <t xml:space="preserve">Передача паролей, ключей, лицензий</t>
  </si>
  <si>
    <t xml:space="preserve">50</t>
  </si>
  <si>
    <t xml:space="preserve">51</t>
  </si>
  <si>
    <t xml:space="preserve">Гарантийное обслуживание</t>
  </si>
  <si>
    <t xml:space="preserve">НАБОР ЗАДАЧ ДЛЯ ДИАГРАММЫ ГАНТА: 6 ТИПОВ ПРОЕКТОВ ИТСО</t>
  </si>
  <si>
    <t xml:space="preserve">СКУД, видеонаблюдение, пожарная сигнализация, охранная сигнализация, периметральная охрана, гибридные системы</t>
  </si>
  <si>
    <t xml:space="preserve">Этап</t>
  </si>
  <si>
    <t xml:space="preserve">Задача (работа)</t>
  </si>
  <si>
    <t xml:space="preserve">Длительность,
дн.</t>
  </si>
  <si>
    <t xml:space="preserve">Предшественник
(код)</t>
  </si>
  <si>
    <t xml:space="preserve">Периметр</t>
  </si>
  <si>
    <t xml:space="preserve">Документ / подтверждение</t>
  </si>
  <si>
    <t xml:space="preserve">I. Подготовительный этап</t>
  </si>
  <si>
    <t xml:space="preserve">I</t>
  </si>
  <si>
    <t xml:space="preserve">Утверждённое ТЗ</t>
  </si>
  <si>
    <t xml:space="preserve">Инженер</t>
  </si>
  <si>
    <t xml:space="preserve">Акт приёмки оборудования</t>
  </si>
  <si>
    <t xml:space="preserve">Итого по стадии «I. Подготовительный этап», дн.</t>
  </si>
  <si>
    <t xml:space="preserve">II. Монтажный этап</t>
  </si>
  <si>
    <t xml:space="preserve">II</t>
  </si>
  <si>
    <t xml:space="preserve">Установка контроллеров / приёмно-контрольных приборов, блоков питания</t>
  </si>
  <si>
    <t xml:space="preserve">Установка считывателей / карт-ридеров, замков, кнопок выхода, турникетов</t>
  </si>
  <si>
    <t xml:space="preserve">Установка видеокамер и кронштейнов видеонаблюдения</t>
  </si>
  <si>
    <t xml:space="preserve">Установка извещателей (дымовых, тепловых, ИК, магнитоконтактных)</t>
  </si>
  <si>
    <t xml:space="preserve">Итого по стадии «II. Монтажный этап», дн.</t>
  </si>
  <si>
    <t xml:space="preserve">III. Пусконаладочный этап</t>
  </si>
  <si>
    <t xml:space="preserve">III</t>
  </si>
  <si>
    <t xml:space="preserve">Регистрация пользователей / карт доступа, раздача прав</t>
  </si>
  <si>
    <t xml:space="preserve">Проверка интеграции с другими системами (только гибрид)</t>
  </si>
  <si>
    <t xml:space="preserve">Итого по стадии «III. Пусконаладочный этап», дн.</t>
  </si>
  <si>
    <t xml:space="preserve">IV. Технико-измерительный этап (испытания)</t>
  </si>
  <si>
    <t xml:space="preserve">IV</t>
  </si>
  <si>
    <t xml:space="preserve">Проверка уровня освещённости (для видеокамер)</t>
  </si>
  <si>
    <t xml:space="preserve">Итого по стадии «IV. Технико-измерительный этап (испытания)», дн.</t>
  </si>
  <si>
    <t xml:space="preserve">V. Приёмо-сдаточный этап</t>
  </si>
  <si>
    <t xml:space="preserve">V</t>
  </si>
  <si>
    <t xml:space="preserve">Контрольные и приёмо-сдаточные испытания всей системы</t>
  </si>
  <si>
    <t xml:space="preserve">Итого по стадии «V. Приёмо-сдаточный этап», дн.</t>
  </si>
  <si>
    <t xml:space="preserve">ИТОГО ПО ПРОЕКТУ (последовательное выполнение всех задач), дн.</t>
  </si>
  <si>
    <t xml:space="preserve">Условные обозначения: «+» — задача входит в состав проекта данного типа; «-» — не входит. Применимость приведена по аналогии с листом «Сводный чек-лист» и требует уточнения под конкретный объект. Столбец «Периметральная охрана» в исходном справочнике отдельным листом не выделен — заполнен по аналогии со столбцом «Охрана» (извещатели, отсутствие типовых для СКУД элементов управления доступом).</t>
  </si>
  <si>
    <t xml:space="preserve">Длительности — усреднённая оценка для типового объекта (бригада 2-3 чел.), справочно для учебного расчёта, уточняется под конкретный проект. «Предшественник» задаёт последовательную (не параллельную) цепочку задач — упрощение для целей курса. Код соответствует нумерации листа «Общие этапы (все системы)» (I.1-V.5).</t>
  </si>
  <si>
    <t xml:space="preserve">НАБОР ЗАДАЧ ДЛЯ ДИАГРАММЫ ГАНТА: 14 ТИПОВ ПРОЕКТОВ (ПРОГРАММНО-АППАРАТНЫЕ И ОРГАНИЗАЦИОННО-АДМИНИСТРАТИВНЫЕ)</t>
  </si>
  <si>
    <t xml:space="preserve">NGFW, DLP, IAM, SIEM, EDR, VPN, резервное копирование, СКЗИ | политика ИБ, категорирование КИИ, защита ПДн, паспорт объекта, аудит ИБ, обучение персонала</t>
  </si>
  <si>
    <t xml:space="preserve">Норматив / основание</t>
  </si>
  <si>
    <t xml:space="preserve">NGFW</t>
  </si>
  <si>
    <t xml:space="preserve">DLP</t>
  </si>
  <si>
    <t xml:space="preserve">IAM</t>
  </si>
  <si>
    <t xml:space="preserve">SIEM</t>
  </si>
  <si>
    <t xml:space="preserve">EDR</t>
  </si>
  <si>
    <t xml:space="preserve">VPN</t>
  </si>
  <si>
    <t xml:space="preserve">Backup</t>
  </si>
  <si>
    <t xml:space="preserve">СКЗИ</t>
  </si>
  <si>
    <t xml:space="preserve">Policy</t>
  </si>
  <si>
    <t xml:space="preserve">КИИ</t>
  </si>
  <si>
    <t xml:space="preserve">ПДн</t>
  </si>
  <si>
    <t xml:space="preserve">Паспорт</t>
  </si>
  <si>
    <t xml:space="preserve">Аудит</t>
  </si>
  <si>
    <t xml:space="preserve">Обучение</t>
  </si>
  <si>
    <t xml:space="preserve">Примечание</t>
  </si>
  <si>
    <t xml:space="preserve">I. Инициация и анализ требований</t>
  </si>
  <si>
    <t xml:space="preserve">Сбор требований Заказчика / анализ текущего состояния (as-is)</t>
  </si>
  <si>
    <t xml:space="preserve">Аналитик ИБ</t>
  </si>
  <si>
    <t xml:space="preserve">ФЗ №152-ФЗ; ФЗ №187-ФЗ; Методика ФСТЭК (05.02.2021) — в зависимости от типа</t>
  </si>
  <si>
    <t xml:space="preserve">Инвентаризация активов / информационных систем, подлежащих защите</t>
  </si>
  <si>
    <t xml:space="preserve">Приказ ФСТЭК №17/№21 (состав мер ИАФ, УПД)</t>
  </si>
  <si>
    <t xml:space="preserve">Категорирование объекта / оценка значимости (КИИ, ПДн, ГИС)</t>
  </si>
  <si>
    <t xml:space="preserve">Комиссия Заказчика</t>
  </si>
  <si>
    <t xml:space="preserve">ПП РФ №127 (08.02.2018); ПП РФ №1119; Приказ ФСТЭК №235</t>
  </si>
  <si>
    <t xml:space="preserve">Разработка технического задания / модели угроз</t>
  </si>
  <si>
    <t xml:space="preserve">Методика оценки угроз ФСТЭК (05.02.2021)</t>
  </si>
  <si>
    <t xml:space="preserve">Выбор решения / поставщика (сравнение продуктов, тендер)</t>
  </si>
  <si>
    <t xml:space="preserve">44-ФЗ/223-ФЗ (для госзаказчиков, если применимо)</t>
  </si>
  <si>
    <t xml:space="preserve">Согласование бюджета и сроков проекта с Заказчиком</t>
  </si>
  <si>
    <t xml:space="preserve">Внутренний регламент проекта</t>
  </si>
  <si>
    <t xml:space="preserve">Итого по стадии «I. Инициация и анализ требований», дн.</t>
  </si>
  <si>
    <t xml:space="preserve">II. Проектирование / разработка решения</t>
  </si>
  <si>
    <t xml:space="preserve">Разработка архитектуры внедрения (схема сети, точки установки)</t>
  </si>
  <si>
    <t xml:space="preserve">Архитектор ИБ</t>
  </si>
  <si>
    <t xml:space="preserve">ГОСТ Р ИСО/МЭК 27002-2021</t>
  </si>
  <si>
    <t xml:space="preserve">Разработка комплекта организационно-распорядительной документации (политики, регламенты, инструкции)</t>
  </si>
  <si>
    <t xml:space="preserve">Специалист по ИБ</t>
  </si>
  <si>
    <t xml:space="preserve">Приказ ФСТЭК №21/№17/№239 (состав мер)</t>
  </si>
  <si>
    <t xml:space="preserve">Разработка модели угроз и модели нарушителя</t>
  </si>
  <si>
    <t xml:space="preserve">Методика ФСТЭК (05.02.2021)</t>
  </si>
  <si>
    <t xml:space="preserve">Разработка проекта паспорта безопасности / антитеррористического паспорта объекта</t>
  </si>
  <si>
    <t xml:space="preserve">ПП РФ №1006 (02.08.2019); ПП РФ №1421 (07.11.2019); ФЗ №35-ФЗ</t>
  </si>
  <si>
    <t xml:space="preserve">Проектирование политик доступа / правил обработки данных (ACL, DLP-политики, IAM-роли)</t>
  </si>
  <si>
    <t xml:space="preserve">Приказ ФСТЭК №21 (категория ИАФ, УПД)</t>
  </si>
  <si>
    <t xml:space="preserve">Согласование проектных решений с Заказчиком</t>
  </si>
  <si>
    <t xml:space="preserve">Итого по стадии «II. Проектирование / разработка решения», дн.</t>
  </si>
  <si>
    <t xml:space="preserve">III. Закупка и внедрение (развёртывание)</t>
  </si>
  <si>
    <t xml:space="preserve">Закупка лицензий / оборудования / сертифицированных СКЗИ</t>
  </si>
  <si>
    <t xml:space="preserve">Зав. складом / юрист</t>
  </si>
  <si>
    <t xml:space="preserve">Приказ ФАПСИ №152 (13.06.2001) — для СКЗИ</t>
  </si>
  <si>
    <t xml:space="preserve">Установка и базовая настройка ПО / оборудования в тестовом контуре</t>
  </si>
  <si>
    <t xml:space="preserve">Документация производителя</t>
  </si>
  <si>
    <t xml:space="preserve">Интеграция с существующей инфраструктурой (AD/LDAP, SIEM, сеть)</t>
  </si>
  <si>
    <t xml:space="preserve">Утверждение и подписание разработанных документов руководством Заказчика</t>
  </si>
  <si>
    <t xml:space="preserve">Руководитель Заказчика</t>
  </si>
  <si>
    <t xml:space="preserve">Внутренний регламент документооборота</t>
  </si>
  <si>
    <t xml:space="preserve">Включение объекта КИИ в реестр значимых объектов ФСТЭК</t>
  </si>
  <si>
    <t xml:space="preserve">ПП РФ №127; Приказ ФСТЭК №235</t>
  </si>
  <si>
    <t xml:space="preserve">Уведомление Роскомнадзора об обработке персональных данных</t>
  </si>
  <si>
    <t xml:space="preserve">ФЗ №152-ФЗ, ст.22</t>
  </si>
  <si>
    <t xml:space="preserve">Развёртывание решения в промышленном контуре (production)</t>
  </si>
  <si>
    <t xml:space="preserve">Итого по стадии «III. Закупка и внедрение (развёртывание)», дн.</t>
  </si>
  <si>
    <t xml:space="preserve">IV. Настройка, тестирование и обучение</t>
  </si>
  <si>
    <t xml:space="preserve">Настройка правил / политик / сценариев реагирования</t>
  </si>
  <si>
    <t xml:space="preserve">MITRE ATT&amp;CK (справочно, вектора угроз)</t>
  </si>
  <si>
    <t xml:space="preserve">Тестирование решения (пилот, нагрузочное и функциональное тестирование)</t>
  </si>
  <si>
    <t xml:space="preserve">Тестовое восстановление из резервной копии (DRP-тест)</t>
  </si>
  <si>
    <t xml:space="preserve">ISO/IEC 27031:2011</t>
  </si>
  <si>
    <t xml:space="preserve">Проведение внутреннего аудита / gap-анализа соответствия</t>
  </si>
  <si>
    <t xml:space="preserve">Аудитор ИБ</t>
  </si>
  <si>
    <t xml:space="preserve">ГОСТ Р ИСО/МЭК 27001-2021</t>
  </si>
  <si>
    <t xml:space="preserve">Разработка программы обучения и проведение обучения / фишинг-симуляции персонала</t>
  </si>
  <si>
    <t xml:space="preserve">Специалист по обучению</t>
  </si>
  <si>
    <t xml:space="preserve">ГОСТ Р ИСО/МЭК 27002-2021, п.6.3</t>
  </si>
  <si>
    <t xml:space="preserve">Ознакомление персонала с политиками под подпись</t>
  </si>
  <si>
    <t xml:space="preserve">Приказ ФСТЭК №21 (ИАФ)</t>
  </si>
  <si>
    <t xml:space="preserve">Итого по стадии «IV. Настройка, тестирование и обучение», дн.</t>
  </si>
  <si>
    <t xml:space="preserve">V. Приёмка, документирование и ввод в эксплуатацию</t>
  </si>
  <si>
    <t xml:space="preserve">Приёмо-сдаточные испытания и подписание акта ввода в эксплуатацию</t>
  </si>
  <si>
    <t xml:space="preserve">Внутренний регламент приёмки</t>
  </si>
  <si>
    <t xml:space="preserve">Оформление итогового отчёта / акта аудита / заключения</t>
  </si>
  <si>
    <t xml:space="preserve">Аудитор / руководитель проекта</t>
  </si>
  <si>
    <t xml:space="preserve">Передача документации, ключей доступа, лицензий Заказчику</t>
  </si>
  <si>
    <t xml:space="preserve">Постановка на сопровождение (SLA) и плановый пересмотр/аудит</t>
  </si>
  <si>
    <t xml:space="preserve">ГОСТ Р ИСО/МЭК 27001-2021 (PDCA)</t>
  </si>
  <si>
    <t xml:space="preserve">Итого по стадии «V. Приёмка, документирование и ввод в эксплуатацию», дн.</t>
  </si>
  <si>
    <t xml:space="preserve">СПЕЦИФИЧНЫЕ ЗАДАЧИ ПО ТИПАМ ПРОЕКТА (дополняют общую стадийность выше)</t>
  </si>
  <si>
    <t xml:space="preserve">Тип проекта</t>
  </si>
  <si>
    <t xml:space="preserve">Специфичная задача</t>
  </si>
  <si>
    <t xml:space="preserve">NGFW — межсетевой экран нового поколения</t>
  </si>
  <si>
    <t xml:space="preserve">II-III</t>
  </si>
  <si>
    <t xml:space="preserve">Разработка и внедрение правил межсетевого экранирования (ACL, NAT, приложения)</t>
  </si>
  <si>
    <t xml:space="preserve">Приказ ФСТЭК №21, категория ЗНИ; MITRE ATT&amp;CK</t>
  </si>
  <si>
    <t xml:space="preserve">DLP — предотвращение утечек данных</t>
  </si>
  <si>
    <t xml:space="preserve">Настройка политик контроля каналов утечки (почта, USB, печать, облако)</t>
  </si>
  <si>
    <t xml:space="preserve">Приказ ФСТЭК №21, категория ЗНИ/ОПС</t>
  </si>
  <si>
    <t xml:space="preserve">IAM — управление доступом и идентификацией</t>
  </si>
  <si>
    <t xml:space="preserve">Интеграция с LDAP/AD, настройка ролевой модели доступа (RBAC)</t>
  </si>
  <si>
    <t xml:space="preserve">Приказ ФСТЭК №21, категория ИАФ/УПД</t>
  </si>
  <si>
    <t xml:space="preserve">SIEM — мониторинг событий безопасности</t>
  </si>
  <si>
    <t xml:space="preserve">Подключение источников логов (log sources) и разработка корреляционных правил</t>
  </si>
  <si>
    <t xml:space="preserve">Приказ ФСТЭК №21, категория РСБ (регистрация событий)</t>
  </si>
  <si>
    <t xml:space="preserve">EDR — защита конечных точек</t>
  </si>
  <si>
    <t xml:space="preserve">Развёртывание агентов на конечных точках, настройка политик реагирования</t>
  </si>
  <si>
    <t xml:space="preserve">Приказ ФСТЭК №21, категория АВЗ</t>
  </si>
  <si>
    <t xml:space="preserve">VPN — защищённые каналы связи</t>
  </si>
  <si>
    <t xml:space="preserve">Настройка туннелей (IPsec/SSL/ГОСТ VPN), выдача сертификатов и ключей</t>
  </si>
  <si>
    <t xml:space="preserve">ГОСТ Р 34.10-2012/34.11-2012 (если требуется криптозащита по ГОСТ)</t>
  </si>
  <si>
    <t xml:space="preserve">Backup — резервное копирование</t>
  </si>
  <si>
    <t xml:space="preserve">II-IV</t>
  </si>
  <si>
    <t xml:space="preserve">Настройка расписания РК, проверка RPO/RTO, тестовое восстановление</t>
  </si>
  <si>
    <t xml:space="preserve">СКЗИ — средства криптографической защиты</t>
  </si>
  <si>
    <t xml:space="preserve">Установка сертифицированных СКЗИ, генерация и учёт ключей</t>
  </si>
  <si>
    <t xml:space="preserve">Приказ ФАПСИ №152 (13.06.2001); Приказ ФСБ №378 (10.07.2014)</t>
  </si>
  <si>
    <t xml:space="preserve">Policy — политика и регламенты ИБ</t>
  </si>
  <si>
    <t xml:space="preserve">Разработка комплекта ОРД: политика ИБ, регламенты, инструкции пользователя/администратора</t>
  </si>
  <si>
    <t xml:space="preserve">Приказ ФСТЭК №21/№17; ГОСТ Р ИСО/МЭК 27002-2021</t>
  </si>
  <si>
    <t xml:space="preserve">КИИ — категорирование объекта критической инфраструктуры</t>
  </si>
  <si>
    <t xml:space="preserve">I-III</t>
  </si>
  <si>
    <t xml:space="preserve">Категорирование объекта, разработка модели угроз, включение в реестр ФСТЭК</t>
  </si>
  <si>
    <t xml:space="preserve">ФЗ №187-ФЗ; ПП РФ №127; Приказ ФСТЭК №235/№239</t>
  </si>
  <si>
    <t xml:space="preserve">ПДн — защита персональных данных</t>
  </si>
  <si>
    <t xml:space="preserve">Классификация ИСПДн, разработка модели угроз, уведомление в Роскомнадзор</t>
  </si>
  <si>
    <t xml:space="preserve">ФЗ №152-ФЗ; ПП РФ №1119; Приказ ФСТЭК №21</t>
  </si>
  <si>
    <t xml:space="preserve">Паспорт — паспорт безопасности объекта</t>
  </si>
  <si>
    <t xml:space="preserve">Разработка паспорта безопасности / антитеррористического паспорта, согласование с органами</t>
  </si>
  <si>
    <t xml:space="preserve">ПП РФ №1006; ПП РФ №1421; ФЗ №35-ФЗ</t>
  </si>
  <si>
    <t xml:space="preserve">Аудит — аудит информационной безопасности</t>
  </si>
  <si>
    <t xml:space="preserve">Проведение внутреннего аудита, gap-анализ по ГОСТ Р ИСО/МЭК 27001, отчёт с рекомендациями</t>
  </si>
  <si>
    <t xml:space="preserve">ГОСТ Р ИСО/МЭК 27001-2021; ГОСТ Р ИСО/МЭК 27002-2021</t>
  </si>
  <si>
    <t xml:space="preserve">Обучение — повышение осведомлённости персонала</t>
  </si>
  <si>
    <t xml:space="preserve">Разработка программы обучения, проведение тренинга и фишинг-симуляции, оценка результатов</t>
  </si>
  <si>
    <t xml:space="preserve">Итого доп. задач, дн.</t>
  </si>
  <si>
    <t xml:space="preserve">Условные обозначения: «+» — задача входит в проект данного типа; «-» — не входит. Столбцы соответствуют кодам таксономии курса: программно-аппаратный сундук (NGFW, DLP, IAM, SIEM, EDR, VPN, Backup, СКЗИ) и организационно-административный сундук (Policy, КИИ, ПДн, Паспорт, Аудит, Обучение). «Предшественник» задаёт последовательную цепочку — упрощение для учебных целей курса.</t>
  </si>
  <si>
    <t xml:space="preserve">Нормативные ссылки приведены как основание для соответствующего этапа (не исчерпывающий перечень); для СКЗИ/ГОСТ-криптографии и КИИ требуется дополнительная юридическая проверка применимости к конкретному объекту и категории значимости.</t>
  </si>
  <si>
    <t xml:space="preserve">ПОТРЕБНОСТЬ В КОМПЛЕКТУЮЩИХ СИСТЕМ ИБ ПО 20 ТИПАМ ПРОЕКТОВ</t>
  </si>
  <si>
    <t xml:space="preserve">«Факт» — цена/диапазон найден в открытом прайс-листе вендора/интегратора (см. примечание); «оценка» — ориентировочный уровень, выведенный по аналогии с найденными ценами того же класса решений, июль 2026</t>
  </si>
  <si>
    <t xml:space="preserve">СКУД — система контроля и управления доступом  [skud]</t>
  </si>
  <si>
    <t xml:space="preserve">№</t>
  </si>
  <si>
    <t xml:space="preserve">Компонент / услуга</t>
  </si>
  <si>
    <t xml:space="preserve">Бюджетная
стоимость</t>
  </si>
  <si>
    <t xml:space="preserve">Middle /
средняя стоимость</t>
  </si>
  <si>
    <t xml:space="preserve">VIP /
лучшая стоимость</t>
  </si>
  <si>
    <t xml:space="preserve">Вендор 2026 года</t>
  </si>
  <si>
    <t xml:space="preserve">Статус / источник</t>
  </si>
  <si>
    <t xml:space="preserve">Контроллер СКУД (1-2 двери)</t>
  </si>
  <si>
    <t xml:space="preserve">Iron Logic / Parsec / Bolid Orion</t>
  </si>
  <si>
    <t xml:space="preserve">факт: диапазон по прайсам sec-group.ru, layta.ru (июль 2026)</t>
  </si>
  <si>
    <t xml:space="preserve">Считыватель карт / биометрический</t>
  </si>
  <si>
    <t xml:space="preserve">Iron Logic / Parsec / ZKTeco</t>
  </si>
  <si>
    <t xml:space="preserve">оценка по аналогии с рынком считывателей</t>
  </si>
  <si>
    <t xml:space="preserve">Электромагнитный / электромеханический замок</t>
  </si>
  <si>
    <t xml:space="preserve">ANT / Iron Logic / DoorHan</t>
  </si>
  <si>
    <t xml:space="preserve">оценка по аналогии с рынком замков</t>
  </si>
  <si>
    <t xml:space="preserve">Турникет (трипод — полноростовой)</t>
  </si>
  <si>
    <t xml:space="preserve">Iron Logic / Parsec / PERCo</t>
  </si>
  <si>
    <t xml:space="preserve">оценка по типовым моделям турникетов</t>
  </si>
  <si>
    <t xml:space="preserve">ПО управления СКУД (сервер, лицензия)</t>
  </si>
  <si>
    <t xml:space="preserve">Parsec / Bolid Orion Pro</t>
  </si>
  <si>
    <t xml:space="preserve">оценка; бюджетный уровень — встроенное ПО без доп.лицензии</t>
  </si>
  <si>
    <t xml:space="preserve">Итого по проекту (сумма компонентов), ₽</t>
  </si>
  <si>
    <t xml:space="preserve">Видеонаблюдение  [video]</t>
  </si>
  <si>
    <t xml:space="preserve">IP-камера</t>
  </si>
  <si>
    <t xml:space="preserve">HiWatch (Hikvision) / Dahua / Hikvision Pro</t>
  </si>
  <si>
    <t xml:space="preserve">факт: анкер ~2490 ₽ бюджетная модель, dssl.ru (июль 2026)</t>
  </si>
  <si>
    <t xml:space="preserve">Видеорегистратор (NVR)</t>
  </si>
  <si>
    <t xml:space="preserve">HiWatch / Dahua / TRASSIR</t>
  </si>
  <si>
    <t xml:space="preserve">оценка по линейкам NVR HiWatch/Dahua</t>
  </si>
  <si>
    <t xml:space="preserve">ПО видеоаналитики (лицензия/канал)</t>
  </si>
  <si>
    <t xml:space="preserve">TRASSIR</t>
  </si>
  <si>
    <t xml:space="preserve">факт: лицензия ПО TRASSIR ~5090 ₽, dssl.ru (июль 2026)</t>
  </si>
  <si>
    <t xml:space="preserve">ИБП для системы видеонаблюдения</t>
  </si>
  <si>
    <t xml:space="preserve">Ippon / APC</t>
  </si>
  <si>
    <t xml:space="preserve">оценка по типовым ИБП линейного ряда</t>
  </si>
  <si>
    <t xml:space="preserve">Пожарная сигнализация  [fire]</t>
  </si>
  <si>
    <t xml:space="preserve">ППКП (прибор приёмно-контрольный пожарный)</t>
  </si>
  <si>
    <t xml:space="preserve">Рубеж / Болид Орион</t>
  </si>
  <si>
    <t xml:space="preserve">оценка по линейкам Рубеж/Болид (products.rubezh.ru, bolid.ru)</t>
  </si>
  <si>
    <t xml:space="preserve">Дымовой / тепловой извещатель</t>
  </si>
  <si>
    <t xml:space="preserve">Болид / Рубеж / System Sensor</t>
  </si>
  <si>
    <t xml:space="preserve">оценка по типовым извещателям</t>
  </si>
  <si>
    <t xml:space="preserve">Оповещатель (сирена + световое табло)</t>
  </si>
  <si>
    <t xml:space="preserve">Болид / Рубеж</t>
  </si>
  <si>
    <t xml:space="preserve">оценка по типовым оповещателям</t>
  </si>
  <si>
    <t xml:space="preserve">Модуль управления эвакуацией</t>
  </si>
  <si>
    <t xml:space="preserve">оценка по модулям СОУЭ</t>
  </si>
  <si>
    <t xml:space="preserve">Охранная сигнализация  [security]</t>
  </si>
  <si>
    <t xml:space="preserve">ПКП (прибор приёмно-контрольный охранный)</t>
  </si>
  <si>
    <t xml:space="preserve">Bolid</t>
  </si>
  <si>
    <t xml:space="preserve">факт: анкер от 3875 ₽, drdoors-msc.ru (июль 2026)</t>
  </si>
  <si>
    <t xml:space="preserve">ИК-извещатель (объёмный)</t>
  </si>
  <si>
    <t xml:space="preserve">Риэлта (Фотон-9) / Bolid</t>
  </si>
  <si>
    <t xml:space="preserve">факт: Фотон-9 1153 ₽, Bolid от 415 ₽, satro-paladin.com (июль 2026)</t>
  </si>
  <si>
    <t xml:space="preserve">Магнитоконтакт</t>
  </si>
  <si>
    <t xml:space="preserve">Bolid / Астра</t>
  </si>
  <si>
    <t xml:space="preserve">оценка по типовым магнитоконтактам</t>
  </si>
  <si>
    <t xml:space="preserve">Комплект проводной начального уровня</t>
  </si>
  <si>
    <t xml:space="preserve">Teko (Астра-Р)</t>
  </si>
  <si>
    <t xml:space="preserve">факт: комплект Астра-Р 3450 ₽, satro-paladin.com (только бюджетный уровень комплекта)</t>
  </si>
  <si>
    <t xml:space="preserve">Периметральная охрана  [perimeter]</t>
  </si>
  <si>
    <t xml:space="preserve">Радиоволновый извещатель (Барьер-100/300/500)</t>
  </si>
  <si>
    <t xml:space="preserve">Forteza (Барьер)</t>
  </si>
  <si>
    <t xml:space="preserve">оценка по линейке Барьер, forteza.ru</t>
  </si>
  <si>
    <t xml:space="preserve">Активный ИК-барьер</t>
  </si>
  <si>
    <t xml:space="preserve">Сатро-Палладин / US-PLAST</t>
  </si>
  <si>
    <t xml:space="preserve">оценка по каталогу ИК-барьеров</t>
  </si>
  <si>
    <t xml:space="preserve">Быстроразворачиваемый комплекс охраны периметра</t>
  </si>
  <si>
    <t xml:space="preserve">Радиобарьер (спец.поставщик)</t>
  </si>
  <si>
    <t xml:space="preserve">оценка; специальный многопозиционный комплекс, только VIP-уровень</t>
  </si>
  <si>
    <t xml:space="preserve">ПО видеоаналитики периметра (лицензия)</t>
  </si>
  <si>
    <t xml:space="preserve">TRASSIR / AxxonSoft</t>
  </si>
  <si>
    <t xml:space="preserve">оценка по аналогии с видеоаналитикой</t>
  </si>
  <si>
    <t xml:space="preserve">Гибридные системы  [hybrid]</t>
  </si>
  <si>
    <t xml:space="preserve">PSIM-платформа интеграции подсистем</t>
  </si>
  <si>
    <t xml:space="preserve">Итриум (Bolid) / AxxonSoft</t>
  </si>
  <si>
    <t xml:space="preserve">оценка по классу PSIM-платформ</t>
  </si>
  <si>
    <t xml:space="preserve">Доп. лицензии интеграции протоколов</t>
  </si>
  <si>
    <t xml:space="preserve">по производителю ядра платформы</t>
  </si>
  <si>
    <t xml:space="preserve">оценка</t>
  </si>
  <si>
    <t xml:space="preserve">NGFW — межсетевой экран нового поколения  [ngfw]</t>
  </si>
  <si>
    <t xml:space="preserve">Аппаратный NGFW, малый офис</t>
  </si>
  <si>
    <t xml:space="preserve">UserGate NGFW C100</t>
  </si>
  <si>
    <t xml:space="preserve">факт: 213 000 ₽ бессрочная лицензия, comnews.ru (июль 2025)</t>
  </si>
  <si>
    <t xml:space="preserve">NGFW, средний бизнес (250-500 польз.)</t>
  </si>
  <si>
    <t xml:space="preserve">UserGate D-серия / Континент 4</t>
  </si>
  <si>
    <t xml:space="preserve">оценка по линейке UserGate/Континент</t>
  </si>
  <si>
    <t xml:space="preserve">NGFW, крупная инфраструктура / ЦОД</t>
  </si>
  <si>
    <t xml:space="preserve">UserGate E-серия / Континент 4</t>
  </si>
  <si>
    <t xml:space="preserve">оценка по старшим моделям линейки</t>
  </si>
  <si>
    <t xml:space="preserve">DLP — предотвращение утечек данных  [dlp]</t>
  </si>
  <si>
    <t xml:space="preserve">DLP, малый пакет (до 50 польз./год)</t>
  </si>
  <si>
    <t xml:space="preserve">Solar Dozor (РТ-Солар)</t>
  </si>
  <si>
    <t xml:space="preserve">факт: от 150 000 ₽/год за 50 польз., fairless.ru (июль 2026, вторичный источник)</t>
  </si>
  <si>
    <t xml:space="preserve">DLP, средний бизнес (лицензия Standard)</t>
  </si>
  <si>
    <t xml:space="preserve">InfoWatch Traffic Monitor</t>
  </si>
  <si>
    <t xml:space="preserve">оценка на основе тендерных цен InfoWatch (rostender.info)</t>
  </si>
  <si>
    <t xml:space="preserve">DLP, Enterprise (крупный бизнес)</t>
  </si>
  <si>
    <t xml:space="preserve">InfoWatch Traffic Monitor Enterprise</t>
  </si>
  <si>
    <t xml:space="preserve">факт: тендерные цены 1,19-3,4 млн ₽, rostender.info (2025)</t>
  </si>
  <si>
    <t xml:space="preserve">IAM — управление доступом и идентификацией  [iam]</t>
  </si>
  <si>
    <t xml:space="preserve">IAM Base (малый бизнес)</t>
  </si>
  <si>
    <t xml:space="preserve">Avanpost IDM Base</t>
  </si>
  <si>
    <t xml:space="preserve">оценка; продукт представлен в апр. 2025, avanpost.ru</t>
  </si>
  <si>
    <t xml:space="preserve">IAM, средний бизнес (IDM 6.0)</t>
  </si>
  <si>
    <t xml:space="preserve">Avanpost IDM 6.0</t>
  </si>
  <si>
    <t xml:space="preserve">оценка по классу продукта</t>
  </si>
  <si>
    <t xml:space="preserve">IAM/IGA, Enterprise (Identity Security Platform)</t>
  </si>
  <si>
    <t xml:space="preserve">Avanpost Identity Security Platform</t>
  </si>
  <si>
    <t xml:space="preserve">оценка по классу платформы, avanpost.ru</t>
  </si>
  <si>
    <t xml:space="preserve">SIEM — мониторинг событий безопасности  [siem]</t>
  </si>
  <si>
    <t xml:space="preserve">SIEM, стартовый уровень</t>
  </si>
  <si>
    <t xml:space="preserve">RuSIEM</t>
  </si>
  <si>
    <t xml:space="preserve">SIEM All-in-One (250-500 узлов)</t>
  </si>
  <si>
    <t xml:space="preserve">MaxPatrol SIEM All-in-One</t>
  </si>
  <si>
    <t xml:space="preserve">оценка; продукт для 250/500/1000 узлов реален, tssolution.ru</t>
  </si>
  <si>
    <t xml:space="preserve">SIEM Enterprise (1000+ узлов)</t>
  </si>
  <si>
    <t xml:space="preserve">MaxPatrol SIEM</t>
  </si>
  <si>
    <t xml:space="preserve">оценка по верхним конфигурациям</t>
  </si>
  <si>
    <t xml:space="preserve">EDR — защита конечных точек  [edr]</t>
  </si>
  <si>
    <t xml:space="preserve">EDR, 100 узлов/год</t>
  </si>
  <si>
    <t xml:space="preserve">Kaspersky EDR для бизнеса Оптимальный</t>
  </si>
  <si>
    <t xml:space="preserve">факт: от 2 994 ₽/узел/год, store-kaspersky.ru (2025) × 100 узлов</t>
  </si>
  <si>
    <t xml:space="preserve">EDR, средний парк (Expert)</t>
  </si>
  <si>
    <t xml:space="preserve">Kaspersky EDR Expert / MaxPatrol EDR</t>
  </si>
  <si>
    <t xml:space="preserve">оценка по старшей линейке Kaspersky</t>
  </si>
  <si>
    <t xml:space="preserve">XDR Enterprise (полный стек)</t>
  </si>
  <si>
    <t xml:space="preserve">MaxPatrol EDR (Positive Technologies)</t>
  </si>
  <si>
    <t xml:space="preserve">оценка по классу решения</t>
  </si>
  <si>
    <t xml:space="preserve">VPN — защищённые каналы связи (ГОСТ VPN)  [vpn]</t>
  </si>
  <si>
    <t xml:space="preserve">VPN-шлюз, малый офис</t>
  </si>
  <si>
    <t xml:space="preserve">АПКШ Континент IPC-25</t>
  </si>
  <si>
    <t xml:space="preserve">факт: 220 000 ₽, komrunet.ru (2025)</t>
  </si>
  <si>
    <t xml:space="preserve">VPN-шлюз, средний бизнес</t>
  </si>
  <si>
    <t xml:space="preserve">С-Терра Шлюз 1000</t>
  </si>
  <si>
    <t xml:space="preserve">оценка по линейке С-Терра, s-terra.ru</t>
  </si>
  <si>
    <t xml:space="preserve">VPN-шлюз, ЦОД (до 10 Гбит)</t>
  </si>
  <si>
    <t xml:space="preserve">С-Терра Шлюз 8000</t>
  </si>
  <si>
    <t xml:space="preserve">оценка по старшей модели линейки С-Терра</t>
  </si>
  <si>
    <t xml:space="preserve">Backup — резервное копирование  [backup]</t>
  </si>
  <si>
    <t xml:space="preserve">РК, малый объём (1 ТБ)</t>
  </si>
  <si>
    <t xml:space="preserve">RuBackup</t>
  </si>
  <si>
    <t xml:space="preserve">факт: от 86 250 ₽ за 1 ТБ, rubackup.ru (2025)</t>
  </si>
  <si>
    <t xml:space="preserve">РК, средний бизнес (Стандартная редакция)</t>
  </si>
  <si>
    <t xml:space="preserve">Кибер Бэкап (Cyberprotect)</t>
  </si>
  <si>
    <t xml:space="preserve">РК, Enterprise/DR (Расширенная редакция)</t>
  </si>
  <si>
    <t xml:space="preserve">Кибер Бэкап Расширенная редакция</t>
  </si>
  <si>
    <t xml:space="preserve">СКЗИ — средства криптографической защиты  [crypto]</t>
  </si>
  <si>
    <t xml:space="preserve">СКЗИ, 1 рабочее место (годовая лицензия)</t>
  </si>
  <si>
    <t xml:space="preserve">КриптоПро CSP 5.0</t>
  </si>
  <si>
    <t xml:space="preserve">факт: 1850 ₽/год, ecp-shop.ru, cryptopro.ru (с 01.2025)</t>
  </si>
  <si>
    <t xml:space="preserve">СКЗИ, сервер</t>
  </si>
  <si>
    <t xml:space="preserve">КриптоПро CSP (серверная лицензия)</t>
  </si>
  <si>
    <t xml:space="preserve">факт: от 70 000 ₽, cryptopro.ru (2025)</t>
  </si>
  <si>
    <t xml:space="preserve">СКЗИ, TLS-сервер (до 1000 подключений)</t>
  </si>
  <si>
    <t xml:space="preserve">КриптоПро CSP (TLS-лицензия)</t>
  </si>
  <si>
    <t xml:space="preserve">факт: 100 000 ₽, cryptopro.ru (2025)</t>
  </si>
  <si>
    <t xml:space="preserve">Policy — политика и регламенты ИБ  [policy]</t>
  </si>
  <si>
    <t xml:space="preserve">Типовой комплект ОРД (шаблонный)</t>
  </si>
  <si>
    <t xml:space="preserve">консалтинговая компания по ИБ</t>
  </si>
  <si>
    <t xml:space="preserve">оценка по рынку типовых ИБ-документов</t>
  </si>
  <si>
    <t xml:space="preserve">Индивидуальный комплект ОРД под 17/21/239 приказы</t>
  </si>
  <si>
    <t xml:space="preserve">Информзащита / Инфосистемы Джет</t>
  </si>
  <si>
    <t xml:space="preserve">оценка по рынку ИБ-консалтинга</t>
  </si>
  <si>
    <t xml:space="preserve">Комплект ОРД + регламенты SOC/due diligence</t>
  </si>
  <si>
    <t xml:space="preserve">Positive Technologies Consulting</t>
  </si>
  <si>
    <t xml:space="preserve">оценка для комплексного проекта</t>
  </si>
  <si>
    <t xml:space="preserve">КИИ — категорирование объекта критической инфраструктуры  [kii]</t>
  </si>
  <si>
    <t xml:space="preserve">Категорирование, 1 система</t>
  </si>
  <si>
    <t xml:space="preserve">региональный интегратор ИБ</t>
  </si>
  <si>
    <t xml:space="preserve">оценка по рынку услуг категорирования КИИ</t>
  </si>
  <si>
    <t xml:space="preserve">Категорирование, 3-5 систем</t>
  </si>
  <si>
    <t xml:space="preserve">Информзащита / К2 Кибербезопасность</t>
  </si>
  <si>
    <t xml:space="preserve">Комплексное категорирование холдинга + реестр ФСТЭК</t>
  </si>
  <si>
    <t xml:space="preserve">Инфосистемы Джет</t>
  </si>
  <si>
    <t xml:space="preserve">ПДн — защита персональных данных  [pdn]</t>
  </si>
  <si>
    <t xml:space="preserve">Малый бизнес (1 ИСПДн)</t>
  </si>
  <si>
    <t xml:space="preserve">оценка по рынку услуг по 152-ФЗ</t>
  </si>
  <si>
    <t xml:space="preserve">Средний бизнес (неск. ИСПДн)</t>
  </si>
  <si>
    <t xml:space="preserve">Информзащита</t>
  </si>
  <si>
    <t xml:space="preserve">Крупная организация (аудит + СКЗИ + ОРД)</t>
  </si>
  <si>
    <t xml:space="preserve">Информзащита + КриптоПро (СКЗИ)</t>
  </si>
  <si>
    <t xml:space="preserve">Паспорт — паспорт безопасности объекта  [passport]</t>
  </si>
  <si>
    <t xml:space="preserve">Паспорт антитеррористической защищённости, типовой</t>
  </si>
  <si>
    <t xml:space="preserve">Профилогистик</t>
  </si>
  <si>
    <t xml:space="preserve">факт: от 25 000 ₽, profilogistik.ru (2026)</t>
  </si>
  <si>
    <t xml:space="preserve">Паспорт + согласование в ведомствах</t>
  </si>
  <si>
    <t xml:space="preserve">СБ-Урал</t>
  </si>
  <si>
    <t xml:space="preserve">факт: от 60 000 ₽, «СБ-Урал» (2026)</t>
  </si>
  <si>
    <t xml:space="preserve">Паспорт для сложного объекта (ТЦ/промкомплекс)</t>
  </si>
  <si>
    <t xml:space="preserve">Нормагрупп</t>
  </si>
  <si>
    <t xml:space="preserve">оценка на основе диапазона от 80 000 ₽ и выше, normativ.org</t>
  </si>
  <si>
    <t xml:space="preserve">Аудит — аудит информационной безопасности  [audit]</t>
  </si>
  <si>
    <t xml:space="preserve">Базовый аудит ИБ (малый бизнес)</t>
  </si>
  <si>
    <t xml:space="preserve">региональный ИБ-интегратор</t>
  </si>
  <si>
    <t xml:space="preserve">факт: базовая стоимость от 85 000 ₽, info-security.su и др. (2025)</t>
  </si>
  <si>
    <t xml:space="preserve">Полный аудит ИБ (средний бизнес, 50-500 чел.)</t>
  </si>
  <si>
    <t xml:space="preserve">Ростелеком-Солар / Информзащита</t>
  </si>
  <si>
    <t xml:space="preserve">факт: диапазон 300 тыс.-1,5 млн ₽, реалистично 500-800 тыс. ₽ (2025)</t>
  </si>
  <si>
    <t xml:space="preserve">Комплексный аудит + due diligence (крупный бизнес)</t>
  </si>
  <si>
    <t xml:space="preserve">Positive Technologies</t>
  </si>
  <si>
    <t xml:space="preserve">факт: верхняя граница диапазона аудита, toveks.ru (2025)</t>
  </si>
  <si>
    <t xml:space="preserve">Обучение — повышение осведомлённости персонала  [training]</t>
  </si>
  <si>
    <t xml:space="preserve">Онлайн-курс на сотрудника</t>
  </si>
  <si>
    <t xml:space="preserve">Kaspersky Security Awareness</t>
  </si>
  <si>
    <t xml:space="preserve">оценка по рынку массовых курсов осведомлённости</t>
  </si>
  <si>
    <t xml:space="preserve">Очный тренинг + фишинг-симуляция на сотрудника</t>
  </si>
  <si>
    <t xml:space="preserve">Jet Security School</t>
  </si>
  <si>
    <t xml:space="preserve">оценка по рынку корпоративных тренингов</t>
  </si>
  <si>
    <t xml:space="preserve">Комплексная программа с киберполигоном на сотрудника</t>
  </si>
  <si>
    <t xml:space="preserve">Positive Technologies (Standoff)</t>
  </si>
  <si>
    <t xml:space="preserve">оценка на основе практики киберполигонов Standoff</t>
  </si>
  <si>
    <t xml:space="preserve">Методология: цены — ориентировочные розничные/лицензионные по открытым прайс-листам и тендерным данным на июль 2026 (источники указаны в столбце «Статус / источник»); пустая ячейка означает, что для данного уровня («Бюджетный»/«Middle»/«VIP») нет отдельного продукта в линейке — компонент присутствует только на указанных уровнях. Перед использованием в реальной смете требуется актуализация цен у вендора/интегратора. «Вендор 2026 года» — репрезентативный лидер сегмента на российском рынке ИБ, не официальный рейтинг.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</si>
</sst>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₽&quot;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4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0"/>
      <color rgb="FFCC0000"/>
      <name val="Calibri"/>
      <family val="0"/>
      <charset val="1"/>
    </font>
    <font>
      <sz val="11"/>
      <color rgb="FF999999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name val="Calibri"/>
      <family val="0"/>
      <charset val="1"/>
    </font>
    <font>
      <b val="true"/>
      <i val="true"/>
      <sz val="1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2"/>
      <name val="Calibri"/>
      <family val="0"/>
      <charset val="1"/>
    </font>
    <font>
      <sz val="9"/>
      <color rgb="FF375623"/>
      <name val="Calibri"/>
      <family val="0"/>
      <charset val="1"/>
    </font>
    <font>
      <sz val="9"/>
      <color rgb="FF833C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CCCC"/>
        <bgColor rgb="FFFCE4D6"/>
      </patternFill>
    </fill>
    <fill>
      <patternFill patternType="solid">
        <fgColor rgb="FFFFF2F2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FF2F2"/>
      </patternFill>
    </fill>
    <fill>
      <patternFill patternType="solid">
        <fgColor rgb="FFFCE4D6"/>
        <bgColor rgb="FFFF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5959"/>
      <rgbColor rgb="FF9999FF"/>
      <rgbColor rgb="FF993366"/>
      <rgbColor rgb="FFFFF2F2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7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00"/>
  </cols>
  <sheetData>
    <row r="1" customFormat="false" ht="21" hidden="false" customHeight="true" outlineLevel="0" collapsed="false">
      <c r="A1" s="2" t="s">
        <v>0</v>
      </c>
    </row>
    <row r="3" customFormat="false" ht="14.25" hidden="false" customHeight="true" outlineLevel="0" collapsed="false">
      <c r="A3" s="3"/>
    </row>
    <row r="4" customFormat="false" ht="15" hidden="false" customHeight="true" outlineLevel="0" collapsed="false">
      <c r="A4" s="4" t="s">
        <v>1</v>
      </c>
    </row>
    <row r="5" customFormat="false" ht="27" hidden="false" customHeight="true" outlineLevel="0" collapsed="false">
      <c r="A5" s="3" t="s">
        <v>2</v>
      </c>
    </row>
    <row r="6" customFormat="false" ht="14.25" hidden="false" customHeight="true" outlineLevel="0" collapsed="false">
      <c r="A6" s="5" t="s">
        <v>3</v>
      </c>
    </row>
    <row r="7" customFormat="false" ht="14.25" hidden="false" customHeight="true" outlineLevel="0" collapsed="false">
      <c r="A7" s="5" t="s">
        <v>4</v>
      </c>
    </row>
    <row r="8" customFormat="false" ht="14.25" hidden="false" customHeight="true" outlineLevel="0" collapsed="false">
      <c r="A8" s="5" t="s">
        <v>5</v>
      </c>
    </row>
    <row r="9" customFormat="false" ht="14.25" hidden="false" customHeight="true" outlineLevel="0" collapsed="false">
      <c r="A9" s="5" t="s">
        <v>6</v>
      </c>
    </row>
    <row r="10" customFormat="false" ht="14.25" hidden="false" customHeight="true" outlineLevel="0" collapsed="false">
      <c r="A10" s="5" t="s">
        <v>7</v>
      </c>
    </row>
    <row r="11" customFormat="false" ht="14.25" hidden="false" customHeight="true" outlineLevel="0" collapsed="false">
      <c r="A11" s="3"/>
    </row>
    <row r="12" customFormat="false" ht="15" hidden="false" customHeight="true" outlineLevel="0" collapsed="false">
      <c r="A12" s="4" t="s">
        <v>8</v>
      </c>
    </row>
    <row r="13" customFormat="false" ht="41.25" hidden="false" customHeight="true" outlineLevel="0" collapsed="false">
      <c r="A13" s="3" t="s">
        <v>9</v>
      </c>
    </row>
    <row r="14" customFormat="false" ht="14.25" hidden="false" customHeight="true" outlineLevel="0" collapsed="false">
      <c r="A14" s="3"/>
    </row>
    <row r="15" customFormat="false" ht="27" hidden="false" customHeight="true" outlineLevel="0" collapsed="false">
      <c r="A15" s="3" t="s">
        <v>10</v>
      </c>
    </row>
    <row r="16" customFormat="false" ht="14.25" hidden="false" customHeight="true" outlineLevel="0" collapsed="false">
      <c r="A16" s="3"/>
    </row>
    <row r="17" customFormat="false" ht="27" hidden="false" customHeight="true" outlineLevel="0" collapsed="false">
      <c r="A17" s="3" t="s">
        <v>11</v>
      </c>
    </row>
    <row r="18" customFormat="false" ht="14.25" hidden="false" customHeight="true" outlineLevel="0" collapsed="false">
      <c r="A18" s="3"/>
    </row>
    <row r="19" customFormat="false" ht="27" hidden="false" customHeight="true" outlineLevel="0" collapsed="false">
      <c r="A19" s="3" t="s">
        <v>12</v>
      </c>
    </row>
    <row r="20" customFormat="false" ht="14.25" hidden="false" customHeight="true" outlineLevel="0" collapsed="false">
      <c r="A20" s="3"/>
    </row>
    <row r="21" customFormat="false" ht="27" hidden="false" customHeight="true" outlineLevel="0" collapsed="false">
      <c r="A21" s="3" t="s">
        <v>13</v>
      </c>
    </row>
    <row r="22" customFormat="false" ht="14.25" hidden="false" customHeight="true" outlineLevel="0" collapsed="false">
      <c r="A22" s="3"/>
    </row>
    <row r="23" customFormat="false" ht="27" hidden="false" customHeight="true" outlineLevel="0" collapsed="false">
      <c r="A23" s="3" t="s">
        <v>14</v>
      </c>
    </row>
    <row r="24" customFormat="false" ht="14.25" hidden="false" customHeight="true" outlineLevel="0" collapsed="false">
      <c r="A24" s="3"/>
    </row>
    <row r="25" customFormat="false" ht="27" hidden="false" customHeight="true" outlineLevel="0" collapsed="false">
      <c r="A25" s="3" t="s">
        <v>15</v>
      </c>
    </row>
    <row r="26" customFormat="false" ht="14.25" hidden="false" customHeight="true" outlineLevel="0" collapsed="false">
      <c r="A26" s="3"/>
    </row>
    <row r="27" customFormat="false" ht="15" hidden="false" customHeight="true" outlineLevel="0" collapsed="false">
      <c r="A27" s="4" t="s">
        <v>16</v>
      </c>
    </row>
    <row r="28" customFormat="false" ht="14.25" hidden="false" customHeight="true" outlineLevel="0" collapsed="false">
      <c r="A28" s="3" t="s">
        <v>17</v>
      </c>
    </row>
    <row r="29" customFormat="false" ht="14.25" hidden="false" customHeight="true" outlineLevel="0" collapsed="false">
      <c r="A29" s="3" t="s">
        <v>18</v>
      </c>
    </row>
    <row r="30" customFormat="false" ht="27" hidden="false" customHeight="true" outlineLevel="0" collapsed="false">
      <c r="A30" s="3" t="s">
        <v>19</v>
      </c>
    </row>
    <row r="31" customFormat="false" ht="27" hidden="false" customHeight="true" outlineLevel="0" collapsed="false">
      <c r="A31" s="3" t="s">
        <v>20</v>
      </c>
    </row>
    <row r="32" customFormat="false" ht="14.25" hidden="false" customHeight="true" outlineLevel="0" collapsed="false">
      <c r="A32" s="3" t="s">
        <v>21</v>
      </c>
    </row>
    <row r="33" customFormat="false" ht="14.25" hidden="false" customHeight="true" outlineLevel="0" collapsed="false">
      <c r="A33" s="3"/>
    </row>
    <row r="34" customFormat="false" ht="15" hidden="false" customHeight="true" outlineLevel="0" collapsed="false">
      <c r="A34" s="4" t="s">
        <v>22</v>
      </c>
    </row>
    <row r="35" customFormat="false" ht="14.25" hidden="false" customHeight="true" outlineLevel="0" collapsed="false">
      <c r="A35" s="3" t="s">
        <v>23</v>
      </c>
    </row>
    <row r="36" customFormat="false" ht="14.25" hidden="false" customHeight="true" outlineLevel="0" collapsed="false">
      <c r="A36" s="3" t="s">
        <v>24</v>
      </c>
    </row>
    <row r="37" customFormat="false" ht="14.25" hidden="false" customHeight="true" outlineLevel="0" collapsed="false">
      <c r="A37" s="3" t="s">
        <v>25</v>
      </c>
    </row>
    <row r="38" customFormat="false" ht="14.25" hidden="false" customHeight="true" outlineLevel="0" collapsed="false">
      <c r="A38" s="3" t="s">
        <v>26</v>
      </c>
    </row>
    <row r="39" customFormat="false" ht="14.25" hidden="false" customHeight="true" outlineLevel="0" collapsed="false">
      <c r="A39" s="3" t="s">
        <v>27</v>
      </c>
    </row>
    <row r="40" customFormat="false" ht="14.25" hidden="false" customHeight="true" outlineLevel="0" collapsed="false">
      <c r="A40" s="3" t="s">
        <v>28</v>
      </c>
    </row>
    <row r="41" customFormat="false" ht="14.25" hidden="false" customHeight="true" outlineLevel="0" collapsed="false">
      <c r="A41" s="3" t="s">
        <v>29</v>
      </c>
    </row>
    <row r="42" customFormat="false" ht="14.25" hidden="false" customHeight="true" outlineLevel="0" collapsed="false">
      <c r="A42" s="3" t="s">
        <v>30</v>
      </c>
    </row>
    <row r="43" customFormat="false" ht="14.25" hidden="false" customHeight="true" outlineLevel="0" collapsed="false">
      <c r="A43" s="3" t="s">
        <v>31</v>
      </c>
    </row>
    <row r="44" customFormat="false" ht="14.25" hidden="false" customHeight="true" outlineLevel="0" collapsed="false">
      <c r="A44" s="3" t="s">
        <v>32</v>
      </c>
    </row>
    <row r="45" customFormat="false" ht="14.25" hidden="false" customHeight="true" outlineLevel="0" collapsed="false">
      <c r="A45" s="3" t="s">
        <v>33</v>
      </c>
    </row>
    <row r="46" customFormat="false" ht="14.25" hidden="false" customHeight="true" outlineLevel="0" collapsed="false">
      <c r="A46" s="3" t="s">
        <v>34</v>
      </c>
    </row>
    <row r="47" customFormat="false" ht="14.25" hidden="false" customHeight="true" outlineLevel="0" collapsed="false">
      <c r="A47" s="3" t="s">
        <v>35</v>
      </c>
    </row>
    <row r="48" customFormat="false" ht="14.25" hidden="false" customHeight="true" outlineLevel="0" collapsed="false">
      <c r="A48" s="3" t="s">
        <v>36</v>
      </c>
    </row>
    <row r="49" customFormat="false" ht="14.25" hidden="false" customHeight="true" outlineLevel="0" collapsed="false">
      <c r="A49" s="3" t="s">
        <v>37</v>
      </c>
    </row>
    <row r="50" customFormat="false" ht="14.25" hidden="false" customHeight="true" outlineLevel="0" collapsed="false">
      <c r="A50" s="3"/>
    </row>
    <row r="51" customFormat="false" ht="15" hidden="false" customHeight="true" outlineLevel="0" collapsed="false">
      <c r="A51" s="4" t="s">
        <v>38</v>
      </c>
    </row>
    <row r="52" customFormat="false" ht="14.25" hidden="false" customHeight="true" outlineLevel="0" collapsed="false">
      <c r="A52" s="3" t="s">
        <v>39</v>
      </c>
    </row>
    <row r="53" customFormat="false" ht="14.25" hidden="false" customHeight="true" outlineLevel="0" collapsed="false">
      <c r="A53" s="5" t="s">
        <v>40</v>
      </c>
    </row>
    <row r="54" customFormat="false" ht="14.25" hidden="false" customHeight="true" outlineLevel="0" collapsed="false">
      <c r="A54" s="5" t="s">
        <v>41</v>
      </c>
    </row>
    <row r="55" customFormat="false" ht="14.25" hidden="false" customHeight="true" outlineLevel="0" collapsed="false">
      <c r="A55" s="5" t="s">
        <v>42</v>
      </c>
    </row>
    <row r="56" customFormat="false" ht="14.25" hidden="false" customHeight="true" outlineLevel="0" collapsed="false">
      <c r="A56" s="5" t="s">
        <v>43</v>
      </c>
    </row>
    <row r="57" customFormat="false" ht="14.25" hidden="false" customHeight="true" outlineLevel="0" collapsed="false">
      <c r="A57" s="5" t="s">
        <v>44</v>
      </c>
    </row>
    <row r="58" customFormat="false" ht="14.25" hidden="false" customHeight="true" outlineLevel="0" collapsed="false">
      <c r="A58" s="5" t="s">
        <v>45</v>
      </c>
    </row>
    <row r="59" customFormat="false" ht="14.25" hidden="false" customHeight="true" outlineLevel="0" collapsed="false">
      <c r="A59" s="5" t="s">
        <v>46</v>
      </c>
    </row>
    <row r="60" customFormat="false" ht="14.25" hidden="false" customHeight="true" outlineLevel="0" collapsed="false">
      <c r="A60" s="3"/>
    </row>
    <row r="61" customFormat="false" ht="14.25" hidden="false" customHeight="true" outlineLevel="0" collapsed="false">
      <c r="A61" s="6" t="s">
        <v>47</v>
      </c>
    </row>
    <row r="63" customFormat="false" ht="14.25" hidden="false" customHeight="true" outlineLevel="0" collapsed="false">
      <c r="A63" s="7" t="s">
        <v>48</v>
      </c>
    </row>
    <row r="65" customFormat="false" ht="39.75" hidden="false" customHeight="true" outlineLevel="0" collapsed="false">
      <c r="A65" s="3" t="s">
        <v>49</v>
      </c>
    </row>
    <row r="67" customFormat="false" ht="59.25" hidden="false" customHeight="true" outlineLevel="0" collapsed="false">
      <c r="A67" s="3" t="s">
        <v>50</v>
      </c>
    </row>
    <row r="69" customFormat="false" ht="30" hidden="false" customHeight="true" outlineLevel="0" collapsed="false">
      <c r="A69" s="3" t="s">
        <v>51</v>
      </c>
    </row>
    <row r="71" customFormat="false" ht="30" hidden="false" customHeight="true" outlineLevel="0" collapsed="false">
      <c r="A71" s="3" t="s">
        <v>52</v>
      </c>
    </row>
    <row r="73" customFormat="false" ht="14.25" hidden="false" customHeight="false" outlineLevel="0" collapsed="false">
      <c r="A73" s="7" t="s">
        <v>53</v>
      </c>
    </row>
    <row r="75" customFormat="false" ht="59.7" hidden="false" customHeight="false" outlineLevel="0" collapsed="false">
      <c r="A75" s="3" t="s">
        <v>54</v>
      </c>
    </row>
    <row r="77" customFormat="false" ht="20.85" hidden="false" customHeight="false" outlineLevel="0" collapsed="false">
      <c r="A77" s="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3.56"/>
    <col collapsed="false" customWidth="true" hidden="false" outlineLevel="0" max="4" min="4" style="1" width="20"/>
    <col collapsed="false" customWidth="true" hidden="false" outlineLevel="0" max="5" min="5" style="1" width="30"/>
    <col collapsed="false" customWidth="true" hidden="false" outlineLevel="0" max="6" min="6" style="1" width="15"/>
  </cols>
  <sheetData>
    <row r="1" customFormat="false" ht="18" hidden="false" customHeight="true" outlineLevel="0" collapsed="false">
      <c r="A1" s="8" t="s">
        <v>56</v>
      </c>
      <c r="B1" s="8"/>
      <c r="C1" s="8"/>
      <c r="D1" s="8"/>
      <c r="E1" s="8"/>
      <c r="F1" s="8"/>
    </row>
    <row r="2" customFormat="false" ht="14.25" hidden="false" customHeight="true" outlineLevel="0" collapsed="false">
      <c r="A2" s="9" t="s">
        <v>57</v>
      </c>
      <c r="B2" s="9"/>
      <c r="C2" s="9"/>
      <c r="D2" s="9"/>
      <c r="E2" s="9"/>
      <c r="F2" s="9"/>
    </row>
    <row r="4" customFormat="false" ht="28.5" hidden="false" customHeight="true" outlineLevel="0" collapsed="false">
      <c r="A4" s="10" t="s">
        <v>58</v>
      </c>
      <c r="B4" s="10" t="s">
        <v>59</v>
      </c>
      <c r="C4" s="10" t="s">
        <v>60</v>
      </c>
      <c r="D4" s="10" t="s">
        <v>61</v>
      </c>
      <c r="E4" s="10" t="s">
        <v>62</v>
      </c>
      <c r="F4" s="10" t="s">
        <v>63</v>
      </c>
    </row>
    <row r="5" customFormat="false" ht="14.25" hidden="false" customHeight="true" outlineLevel="0" collapsed="false">
      <c r="A5" s="11"/>
      <c r="B5" s="11"/>
      <c r="C5" s="11"/>
      <c r="D5" s="11"/>
      <c r="E5" s="11"/>
      <c r="F5" s="11"/>
    </row>
    <row r="6" customFormat="false" ht="14.25" hidden="false" customHeight="true" outlineLevel="0" collapsed="false">
      <c r="A6" s="12" t="s">
        <v>64</v>
      </c>
      <c r="B6" s="12" t="s">
        <v>65</v>
      </c>
      <c r="C6" s="13" t="s">
        <v>66</v>
      </c>
      <c r="D6" s="12" t="s">
        <v>67</v>
      </c>
      <c r="E6" s="12" t="s">
        <v>68</v>
      </c>
      <c r="F6" s="14"/>
    </row>
    <row r="7" customFormat="false" ht="14.25" hidden="false" customHeight="true" outlineLevel="0" collapsed="false">
      <c r="A7" s="12" t="s">
        <v>69</v>
      </c>
      <c r="B7" s="12" t="s">
        <v>70</v>
      </c>
      <c r="C7" s="13" t="s">
        <v>71</v>
      </c>
      <c r="D7" s="12" t="s">
        <v>72</v>
      </c>
      <c r="E7" s="12" t="s">
        <v>73</v>
      </c>
      <c r="F7" s="14"/>
    </row>
    <row r="8" customFormat="false" ht="14.25" hidden="false" customHeight="true" outlineLevel="0" collapsed="false">
      <c r="A8" s="12" t="s">
        <v>74</v>
      </c>
      <c r="B8" s="12" t="s">
        <v>75</v>
      </c>
      <c r="C8" s="13" t="s">
        <v>76</v>
      </c>
      <c r="D8" s="12" t="s">
        <v>77</v>
      </c>
      <c r="E8" s="12" t="s">
        <v>78</v>
      </c>
      <c r="F8" s="14"/>
    </row>
    <row r="9" customFormat="false" ht="14.25" hidden="false" customHeight="true" outlineLevel="0" collapsed="false">
      <c r="A9" s="12" t="s">
        <v>79</v>
      </c>
      <c r="B9" s="12" t="s">
        <v>80</v>
      </c>
      <c r="C9" s="13" t="s">
        <v>81</v>
      </c>
      <c r="D9" s="12" t="s">
        <v>77</v>
      </c>
      <c r="E9" s="12" t="s">
        <v>82</v>
      </c>
      <c r="F9" s="14"/>
    </row>
    <row r="10" customFormat="false" ht="14.25" hidden="false" customHeight="true" outlineLevel="0" collapsed="false">
      <c r="A10" s="12" t="s">
        <v>83</v>
      </c>
      <c r="B10" s="12" t="s">
        <v>84</v>
      </c>
      <c r="C10" s="13" t="s">
        <v>85</v>
      </c>
      <c r="D10" s="12" t="s">
        <v>86</v>
      </c>
      <c r="E10" s="12" t="s">
        <v>87</v>
      </c>
      <c r="F10" s="14"/>
    </row>
    <row r="11" customFormat="false" ht="14.25" hidden="false" customHeight="true" outlineLevel="0" collapsed="false">
      <c r="A11" s="12" t="s">
        <v>88</v>
      </c>
      <c r="B11" s="12" t="s">
        <v>89</v>
      </c>
      <c r="C11" s="13" t="s">
        <v>90</v>
      </c>
      <c r="D11" s="12" t="s">
        <v>91</v>
      </c>
      <c r="E11" s="12" t="s">
        <v>92</v>
      </c>
      <c r="F11" s="14"/>
    </row>
    <row r="12" customFormat="false" ht="14.25" hidden="false" customHeight="true" outlineLevel="0" collapsed="false">
      <c r="A12" s="12" t="s">
        <v>93</v>
      </c>
      <c r="B12" s="12" t="s">
        <v>94</v>
      </c>
      <c r="C12" s="13" t="s">
        <v>95</v>
      </c>
      <c r="D12" s="12" t="s">
        <v>96</v>
      </c>
      <c r="E12" s="12" t="s">
        <v>97</v>
      </c>
      <c r="F12" s="14"/>
    </row>
    <row r="13" customFormat="false" ht="14.25" hidden="false" customHeight="true" outlineLevel="0" collapsed="false">
      <c r="A13" s="12" t="s">
        <v>98</v>
      </c>
      <c r="B13" s="12" t="s">
        <v>99</v>
      </c>
      <c r="C13" s="13" t="s">
        <v>100</v>
      </c>
      <c r="D13" s="12" t="s">
        <v>101</v>
      </c>
      <c r="E13" s="12" t="s">
        <v>102</v>
      </c>
      <c r="F13" s="14"/>
    </row>
    <row r="14" customFormat="false" ht="14.25" hidden="false" customHeight="true" outlineLevel="0" collapsed="false">
      <c r="A14" s="12" t="s">
        <v>103</v>
      </c>
      <c r="B14" s="12" t="s">
        <v>104</v>
      </c>
      <c r="C14" s="13" t="s">
        <v>105</v>
      </c>
      <c r="D14" s="12" t="s">
        <v>101</v>
      </c>
      <c r="E14" s="12" t="s">
        <v>106</v>
      </c>
      <c r="F14" s="14"/>
    </row>
    <row r="15" customFormat="false" ht="14.25" hidden="false" customHeight="true" outlineLevel="0" collapsed="false">
      <c r="A15" s="12" t="s">
        <v>107</v>
      </c>
      <c r="B15" s="12" t="s">
        <v>108</v>
      </c>
      <c r="C15" s="13" t="s">
        <v>109</v>
      </c>
      <c r="D15" s="12" t="s">
        <v>101</v>
      </c>
      <c r="E15" s="12" t="s">
        <v>110</v>
      </c>
      <c r="F15" s="14"/>
    </row>
    <row r="16" customFormat="false" ht="14.25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14.25" hidden="false" customHeight="true" outlineLevel="0" collapsed="false">
      <c r="A17" s="12" t="s">
        <v>111</v>
      </c>
      <c r="B17" s="12" t="s">
        <v>112</v>
      </c>
      <c r="C17" s="13" t="s">
        <v>113</v>
      </c>
      <c r="D17" s="12" t="s">
        <v>114</v>
      </c>
      <c r="E17" s="12" t="s">
        <v>115</v>
      </c>
      <c r="F17" s="14"/>
    </row>
    <row r="18" customFormat="false" ht="14.25" hidden="false" customHeight="true" outlineLevel="0" collapsed="false">
      <c r="A18" s="12" t="s">
        <v>116</v>
      </c>
      <c r="B18" s="12" t="s">
        <v>117</v>
      </c>
      <c r="C18" s="13" t="s">
        <v>118</v>
      </c>
      <c r="D18" s="12" t="s">
        <v>114</v>
      </c>
      <c r="E18" s="12" t="s">
        <v>119</v>
      </c>
      <c r="F18" s="14"/>
    </row>
    <row r="19" customFormat="false" ht="14.25" hidden="false" customHeight="true" outlineLevel="0" collapsed="false">
      <c r="A19" s="12" t="s">
        <v>120</v>
      </c>
      <c r="B19" s="12" t="s">
        <v>121</v>
      </c>
      <c r="C19" s="13" t="s">
        <v>122</v>
      </c>
      <c r="D19" s="12" t="s">
        <v>114</v>
      </c>
      <c r="E19" s="12" t="s">
        <v>123</v>
      </c>
      <c r="F19" s="14"/>
    </row>
    <row r="20" customFormat="false" ht="14.25" hidden="false" customHeight="true" outlineLevel="0" collapsed="false">
      <c r="A20" s="12" t="s">
        <v>124</v>
      </c>
      <c r="B20" s="12" t="s">
        <v>125</v>
      </c>
      <c r="C20" s="13" t="s">
        <v>126</v>
      </c>
      <c r="D20" s="12" t="s">
        <v>114</v>
      </c>
      <c r="E20" s="12" t="s">
        <v>127</v>
      </c>
      <c r="F20" s="14"/>
    </row>
    <row r="21" customFormat="false" ht="14.25" hidden="false" customHeight="true" outlineLevel="0" collapsed="false">
      <c r="A21" s="12" t="s">
        <v>128</v>
      </c>
      <c r="B21" s="12" t="s">
        <v>129</v>
      </c>
      <c r="C21" s="13" t="s">
        <v>130</v>
      </c>
      <c r="D21" s="12" t="s">
        <v>114</v>
      </c>
      <c r="E21" s="12" t="s">
        <v>123</v>
      </c>
      <c r="F21" s="14"/>
    </row>
    <row r="22" customFormat="false" ht="14.25" hidden="false" customHeight="true" outlineLevel="0" collapsed="false">
      <c r="A22" s="12" t="s">
        <v>131</v>
      </c>
      <c r="B22" s="12" t="s">
        <v>132</v>
      </c>
      <c r="C22" s="13" t="s">
        <v>133</v>
      </c>
      <c r="D22" s="12" t="s">
        <v>114</v>
      </c>
      <c r="E22" s="12" t="s">
        <v>134</v>
      </c>
      <c r="F22" s="14"/>
    </row>
    <row r="23" customFormat="false" ht="14.25" hidden="false" customHeight="true" outlineLevel="0" collapsed="false">
      <c r="A23" s="12" t="s">
        <v>135</v>
      </c>
      <c r="B23" s="12" t="s">
        <v>136</v>
      </c>
      <c r="C23" s="13" t="s">
        <v>137</v>
      </c>
      <c r="D23" s="12" t="s">
        <v>114</v>
      </c>
      <c r="E23" s="12" t="s">
        <v>123</v>
      </c>
      <c r="F23" s="14"/>
    </row>
    <row r="24" customFormat="false" ht="14.25" hidden="false" customHeight="true" outlineLevel="0" collapsed="false">
      <c r="A24" s="12" t="s">
        <v>138</v>
      </c>
      <c r="B24" s="12" t="s">
        <v>139</v>
      </c>
      <c r="C24" s="13" t="s">
        <v>140</v>
      </c>
      <c r="D24" s="12" t="s">
        <v>141</v>
      </c>
      <c r="E24" s="12" t="s">
        <v>142</v>
      </c>
      <c r="F24" s="14"/>
    </row>
    <row r="25" customFormat="false" ht="14.25" hidden="false" customHeight="true" outlineLevel="0" collapsed="false">
      <c r="A25" s="12" t="s">
        <v>143</v>
      </c>
      <c r="B25" s="12" t="s">
        <v>144</v>
      </c>
      <c r="C25" s="13" t="s">
        <v>145</v>
      </c>
      <c r="D25" s="12" t="s">
        <v>114</v>
      </c>
      <c r="E25" s="12" t="s">
        <v>123</v>
      </c>
      <c r="F25" s="14"/>
    </row>
    <row r="26" customFormat="false" ht="14.25" hidden="false" customHeight="true" outlineLevel="0" collapsed="false">
      <c r="A26" s="12" t="s">
        <v>146</v>
      </c>
      <c r="B26" s="12" t="s">
        <v>147</v>
      </c>
      <c r="C26" s="13" t="s">
        <v>148</v>
      </c>
      <c r="D26" s="12" t="s">
        <v>114</v>
      </c>
      <c r="E26" s="12" t="s">
        <v>149</v>
      </c>
      <c r="F26" s="14"/>
    </row>
    <row r="27" customFormat="false" ht="14.25" hidden="false" customHeight="true" outlineLevel="0" collapsed="false">
      <c r="A27" s="12" t="s">
        <v>150</v>
      </c>
      <c r="B27" s="12" t="s">
        <v>151</v>
      </c>
      <c r="C27" s="13" t="s">
        <v>152</v>
      </c>
      <c r="D27" s="12" t="s">
        <v>114</v>
      </c>
      <c r="E27" s="12" t="s">
        <v>153</v>
      </c>
      <c r="F27" s="14"/>
    </row>
    <row r="28" customFormat="false" ht="14.25" hidden="false" customHeight="true" outlineLevel="0" collapsed="false">
      <c r="A28" s="12" t="s">
        <v>154</v>
      </c>
      <c r="B28" s="12" t="s">
        <v>155</v>
      </c>
      <c r="C28" s="13" t="s">
        <v>156</v>
      </c>
      <c r="D28" s="12" t="s">
        <v>114</v>
      </c>
      <c r="E28" s="12" t="s">
        <v>149</v>
      </c>
      <c r="F28" s="14"/>
    </row>
    <row r="29" customFormat="false" ht="14.25" hidden="false" customHeight="true" outlineLevel="0" collapsed="false">
      <c r="A29" s="12" t="s">
        <v>157</v>
      </c>
      <c r="B29" s="12" t="s">
        <v>158</v>
      </c>
      <c r="C29" s="13" t="s">
        <v>159</v>
      </c>
      <c r="D29" s="12" t="s">
        <v>114</v>
      </c>
      <c r="E29" s="12" t="s">
        <v>160</v>
      </c>
      <c r="F29" s="14"/>
    </row>
    <row r="30" customFormat="false" ht="14.25" hidden="false" customHeight="true" outlineLevel="0" collapsed="false">
      <c r="A30" s="11"/>
      <c r="B30" s="11"/>
      <c r="C30" s="11"/>
      <c r="D30" s="11"/>
      <c r="E30" s="11"/>
      <c r="F30" s="11"/>
    </row>
    <row r="31" customFormat="false" ht="14.25" hidden="false" customHeight="true" outlineLevel="0" collapsed="false">
      <c r="A31" s="12" t="s">
        <v>161</v>
      </c>
      <c r="B31" s="12" t="s">
        <v>162</v>
      </c>
      <c r="C31" s="13" t="s">
        <v>163</v>
      </c>
      <c r="D31" s="12" t="s">
        <v>164</v>
      </c>
      <c r="E31" s="12" t="s">
        <v>165</v>
      </c>
      <c r="F31" s="14"/>
    </row>
    <row r="32" customFormat="false" ht="14.25" hidden="false" customHeight="true" outlineLevel="0" collapsed="false">
      <c r="A32" s="12" t="s">
        <v>166</v>
      </c>
      <c r="B32" s="12" t="s">
        <v>167</v>
      </c>
      <c r="C32" s="13" t="s">
        <v>168</v>
      </c>
      <c r="D32" s="12" t="s">
        <v>164</v>
      </c>
      <c r="E32" s="12" t="s">
        <v>169</v>
      </c>
      <c r="F32" s="14"/>
    </row>
    <row r="33" customFormat="false" ht="14.25" hidden="false" customHeight="true" outlineLevel="0" collapsed="false">
      <c r="A33" s="12" t="s">
        <v>170</v>
      </c>
      <c r="B33" s="12" t="s">
        <v>171</v>
      </c>
      <c r="C33" s="13" t="s">
        <v>172</v>
      </c>
      <c r="D33" s="12" t="s">
        <v>164</v>
      </c>
      <c r="E33" s="12" t="s">
        <v>173</v>
      </c>
      <c r="F33" s="14"/>
    </row>
    <row r="34" customFormat="false" ht="14.25" hidden="false" customHeight="true" outlineLevel="0" collapsed="false">
      <c r="A34" s="12" t="s">
        <v>174</v>
      </c>
      <c r="B34" s="12" t="s">
        <v>175</v>
      </c>
      <c r="C34" s="13" t="s">
        <v>176</v>
      </c>
      <c r="D34" s="12" t="s">
        <v>177</v>
      </c>
      <c r="E34" s="12" t="s">
        <v>178</v>
      </c>
      <c r="F34" s="14"/>
    </row>
    <row r="35" customFormat="false" ht="14.25" hidden="false" customHeight="true" outlineLevel="0" collapsed="false">
      <c r="A35" s="12" t="s">
        <v>179</v>
      </c>
      <c r="B35" s="12" t="s">
        <v>180</v>
      </c>
      <c r="C35" s="13" t="s">
        <v>181</v>
      </c>
      <c r="D35" s="12" t="s">
        <v>164</v>
      </c>
      <c r="E35" s="12" t="s">
        <v>182</v>
      </c>
      <c r="F35" s="14"/>
    </row>
    <row r="36" customFormat="false" ht="14.25" hidden="false" customHeight="true" outlineLevel="0" collapsed="false">
      <c r="A36" s="12" t="s">
        <v>183</v>
      </c>
      <c r="B36" s="12" t="s">
        <v>184</v>
      </c>
      <c r="C36" s="13" t="s">
        <v>185</v>
      </c>
      <c r="D36" s="12" t="s">
        <v>164</v>
      </c>
      <c r="E36" s="12" t="s">
        <v>186</v>
      </c>
      <c r="F36" s="14"/>
    </row>
    <row r="37" customFormat="false" ht="14.25" hidden="false" customHeight="true" outlineLevel="0" collapsed="false">
      <c r="A37" s="12" t="s">
        <v>187</v>
      </c>
      <c r="B37" s="12" t="s">
        <v>188</v>
      </c>
      <c r="C37" s="13" t="s">
        <v>189</v>
      </c>
      <c r="D37" s="12" t="s">
        <v>164</v>
      </c>
      <c r="E37" s="12" t="s">
        <v>186</v>
      </c>
      <c r="F37" s="14"/>
    </row>
    <row r="38" customFormat="false" ht="14.25" hidden="false" customHeight="true" outlineLevel="0" collapsed="false">
      <c r="A38" s="12" t="s">
        <v>190</v>
      </c>
      <c r="B38" s="12" t="s">
        <v>191</v>
      </c>
      <c r="C38" s="13" t="s">
        <v>192</v>
      </c>
      <c r="D38" s="12" t="s">
        <v>164</v>
      </c>
      <c r="E38" s="12" t="s">
        <v>193</v>
      </c>
      <c r="F38" s="14"/>
    </row>
    <row r="39" customFormat="false" ht="14.25" hidden="false" customHeight="true" outlineLevel="0" collapsed="false">
      <c r="A39" s="12" t="s">
        <v>194</v>
      </c>
      <c r="B39" s="12" t="s">
        <v>195</v>
      </c>
      <c r="C39" s="13" t="s">
        <v>196</v>
      </c>
      <c r="D39" s="12" t="s">
        <v>164</v>
      </c>
      <c r="E39" s="12" t="s">
        <v>197</v>
      </c>
      <c r="F39" s="14"/>
    </row>
    <row r="40" customFormat="false" ht="14.25" hidden="false" customHeight="true" outlineLevel="0" collapsed="false">
      <c r="A40" s="12" t="s">
        <v>198</v>
      </c>
      <c r="B40" s="12" t="s">
        <v>199</v>
      </c>
      <c r="C40" s="13" t="s">
        <v>200</v>
      </c>
      <c r="D40" s="12" t="s">
        <v>164</v>
      </c>
      <c r="E40" s="12" t="s">
        <v>201</v>
      </c>
      <c r="F40" s="14"/>
    </row>
    <row r="41" customFormat="false" ht="14.25" hidden="false" customHeight="true" outlineLevel="0" collapsed="false">
      <c r="A41" s="11"/>
      <c r="B41" s="11"/>
      <c r="C41" s="11"/>
      <c r="D41" s="11"/>
      <c r="E41" s="11"/>
      <c r="F41" s="11"/>
    </row>
    <row r="42" customFormat="false" ht="14.25" hidden="false" customHeight="true" outlineLevel="0" collapsed="false">
      <c r="A42" s="12" t="s">
        <v>202</v>
      </c>
      <c r="B42" s="12" t="s">
        <v>203</v>
      </c>
      <c r="C42" s="13" t="s">
        <v>204</v>
      </c>
      <c r="D42" s="12" t="s">
        <v>164</v>
      </c>
      <c r="E42" s="12" t="s">
        <v>205</v>
      </c>
      <c r="F42" s="14"/>
    </row>
    <row r="43" customFormat="false" ht="14.25" hidden="false" customHeight="true" outlineLevel="0" collapsed="false">
      <c r="A43" s="12" t="s">
        <v>206</v>
      </c>
      <c r="B43" s="12" t="s">
        <v>207</v>
      </c>
      <c r="C43" s="13" t="s">
        <v>208</v>
      </c>
      <c r="D43" s="12" t="s">
        <v>209</v>
      </c>
      <c r="E43" s="12" t="s">
        <v>210</v>
      </c>
      <c r="F43" s="14"/>
    </row>
    <row r="44" customFormat="false" ht="14.25" hidden="false" customHeight="true" outlineLevel="0" collapsed="false">
      <c r="A44" s="12" t="s">
        <v>211</v>
      </c>
      <c r="B44" s="12" t="s">
        <v>212</v>
      </c>
      <c r="C44" s="13" t="s">
        <v>213</v>
      </c>
      <c r="D44" s="12" t="s">
        <v>164</v>
      </c>
      <c r="E44" s="12" t="s">
        <v>210</v>
      </c>
      <c r="F44" s="14"/>
    </row>
    <row r="45" customFormat="false" ht="14.25" hidden="false" customHeight="true" outlineLevel="0" collapsed="false">
      <c r="A45" s="12" t="s">
        <v>214</v>
      </c>
      <c r="B45" s="12" t="s">
        <v>215</v>
      </c>
      <c r="C45" s="13" t="s">
        <v>216</v>
      </c>
      <c r="D45" s="12" t="s">
        <v>164</v>
      </c>
      <c r="E45" s="12" t="s">
        <v>217</v>
      </c>
      <c r="F45" s="14"/>
    </row>
    <row r="46" customFormat="false" ht="14.25" hidden="false" customHeight="true" outlineLevel="0" collapsed="false">
      <c r="A46" s="12" t="s">
        <v>218</v>
      </c>
      <c r="B46" s="12" t="s">
        <v>219</v>
      </c>
      <c r="C46" s="13" t="s">
        <v>220</v>
      </c>
      <c r="D46" s="12" t="s">
        <v>164</v>
      </c>
      <c r="E46" s="12" t="s">
        <v>221</v>
      </c>
      <c r="F46" s="14"/>
    </row>
    <row r="47" customFormat="false" ht="14.25" hidden="false" customHeight="true" outlineLevel="0" collapsed="false">
      <c r="A47" s="12" t="s">
        <v>222</v>
      </c>
      <c r="B47" s="12" t="s">
        <v>223</v>
      </c>
      <c r="C47" s="13" t="s">
        <v>224</v>
      </c>
      <c r="D47" s="12" t="s">
        <v>164</v>
      </c>
      <c r="E47" s="12" t="s">
        <v>225</v>
      </c>
      <c r="F47" s="14"/>
    </row>
    <row r="48" customFormat="false" ht="14.25" hidden="false" customHeight="true" outlineLevel="0" collapsed="false">
      <c r="A48" s="11"/>
      <c r="B48" s="11"/>
      <c r="C48" s="11"/>
      <c r="D48" s="11"/>
      <c r="E48" s="11"/>
      <c r="F48" s="11"/>
    </row>
    <row r="49" customFormat="false" ht="14.25" hidden="false" customHeight="true" outlineLevel="0" collapsed="false">
      <c r="A49" s="12" t="s">
        <v>226</v>
      </c>
      <c r="B49" s="12" t="s">
        <v>227</v>
      </c>
      <c r="C49" s="13" t="s">
        <v>228</v>
      </c>
      <c r="D49" s="12" t="s">
        <v>229</v>
      </c>
      <c r="E49" s="12" t="s">
        <v>230</v>
      </c>
      <c r="F49" s="14"/>
    </row>
    <row r="50" customFormat="false" ht="14.25" hidden="false" customHeight="true" outlineLevel="0" collapsed="false">
      <c r="A50" s="12" t="s">
        <v>231</v>
      </c>
      <c r="B50" s="12" t="s">
        <v>232</v>
      </c>
      <c r="C50" s="13" t="s">
        <v>233</v>
      </c>
      <c r="D50" s="12" t="s">
        <v>67</v>
      </c>
      <c r="E50" s="12" t="s">
        <v>234</v>
      </c>
      <c r="F50" s="14"/>
    </row>
    <row r="51" customFormat="false" ht="14.25" hidden="false" customHeight="true" outlineLevel="0" collapsed="false">
      <c r="A51" s="12" t="s">
        <v>235</v>
      </c>
      <c r="B51" s="12" t="s">
        <v>236</v>
      </c>
      <c r="C51" s="13" t="s">
        <v>237</v>
      </c>
      <c r="D51" s="12" t="s">
        <v>164</v>
      </c>
      <c r="E51" s="12" t="s">
        <v>238</v>
      </c>
      <c r="F51" s="14"/>
    </row>
    <row r="52" customFormat="false" ht="14.25" hidden="false" customHeight="true" outlineLevel="0" collapsed="false">
      <c r="A52" s="12" t="s">
        <v>239</v>
      </c>
      <c r="B52" s="12" t="s">
        <v>240</v>
      </c>
      <c r="C52" s="13" t="s">
        <v>241</v>
      </c>
      <c r="D52" s="12" t="s">
        <v>72</v>
      </c>
      <c r="E52" s="12" t="s">
        <v>242</v>
      </c>
      <c r="F52" s="14"/>
    </row>
    <row r="53" customFormat="false" ht="14.25" hidden="false" customHeight="true" outlineLevel="0" collapsed="false">
      <c r="A53" s="12" t="s">
        <v>243</v>
      </c>
      <c r="B53" s="12" t="s">
        <v>244</v>
      </c>
      <c r="C53" s="13" t="s">
        <v>245</v>
      </c>
      <c r="D53" s="12" t="s">
        <v>229</v>
      </c>
      <c r="E53" s="12" t="s">
        <v>246</v>
      </c>
      <c r="F53" s="14"/>
    </row>
    <row r="54" customFormat="false" ht="14.25" hidden="false" customHeight="true" outlineLevel="0" collapsed="false">
      <c r="A54" s="12" t="s">
        <v>247</v>
      </c>
      <c r="B54" s="12" t="s">
        <v>248</v>
      </c>
      <c r="C54" s="13" t="s">
        <v>249</v>
      </c>
      <c r="D54" s="12" t="s">
        <v>250</v>
      </c>
      <c r="E54" s="12" t="s">
        <v>251</v>
      </c>
      <c r="F54" s="14"/>
    </row>
  </sheetData>
  <mergeCells count="7">
    <mergeCell ref="A1:F1"/>
    <mergeCell ref="A2:F2"/>
    <mergeCell ref="A5:F5"/>
    <mergeCell ref="A16:F16"/>
    <mergeCell ref="A30:F30"/>
    <mergeCell ref="A41:F41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35.22"/>
    <col collapsed="false" customWidth="true" hidden="false" outlineLevel="0" max="7" min="7" style="1" width="45"/>
    <col collapsed="false" customWidth="true" hidden="false" outlineLevel="0" max="8" min="8" style="1" width="40"/>
    <col collapsed="false" customWidth="true" hidden="false" outlineLevel="0" max="9" min="9" style="1" width="35"/>
  </cols>
  <sheetData>
    <row r="1" customFormat="false" ht="18" hidden="false" customHeight="true" outlineLevel="0" collapsed="false">
      <c r="A1" s="8" t="s">
        <v>252</v>
      </c>
      <c r="B1" s="8"/>
      <c r="C1" s="8"/>
      <c r="D1" s="8"/>
      <c r="E1" s="8"/>
      <c r="F1" s="8"/>
      <c r="G1" s="8"/>
      <c r="H1" s="8"/>
      <c r="I1" s="8"/>
    </row>
    <row r="2" customFormat="false" ht="14.25" hidden="false" customHeight="true" outlineLevel="0" collapsed="false">
      <c r="A2" s="15" t="s">
        <v>253</v>
      </c>
      <c r="B2" s="15"/>
      <c r="C2" s="15"/>
      <c r="D2" s="15"/>
      <c r="E2" s="15"/>
      <c r="F2" s="15"/>
      <c r="G2" s="15"/>
      <c r="H2" s="15"/>
      <c r="I2" s="15"/>
    </row>
    <row r="4" customFormat="false" ht="28.5" hidden="false" customHeight="true" outlineLevel="0" collapsed="false">
      <c r="A4" s="10" t="s">
        <v>58</v>
      </c>
      <c r="B4" s="10" t="s">
        <v>59</v>
      </c>
      <c r="C4" s="10" t="s">
        <v>254</v>
      </c>
      <c r="D4" s="10" t="s">
        <v>255</v>
      </c>
      <c r="E4" s="10" t="s">
        <v>256</v>
      </c>
      <c r="F4" s="10" t="s">
        <v>257</v>
      </c>
      <c r="G4" s="16" t="s">
        <v>258</v>
      </c>
      <c r="H4" s="16" t="s">
        <v>259</v>
      </c>
      <c r="I4" s="16" t="s">
        <v>260</v>
      </c>
    </row>
    <row r="5" customFormat="false" ht="14.2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41.25" hidden="false" customHeight="true" outlineLevel="0" collapsed="false">
      <c r="A6" s="12" t="s">
        <v>261</v>
      </c>
      <c r="B6" s="12"/>
      <c r="C6" s="13" t="s">
        <v>262</v>
      </c>
      <c r="D6" s="12" t="s">
        <v>263</v>
      </c>
      <c r="E6" s="14"/>
      <c r="F6" s="12" t="s">
        <v>264</v>
      </c>
      <c r="G6" s="17" t="s">
        <v>265</v>
      </c>
      <c r="H6" s="17" t="s">
        <v>266</v>
      </c>
      <c r="I6" s="17" t="s">
        <v>267</v>
      </c>
    </row>
    <row r="7" customFormat="false" ht="41.25" hidden="false" customHeight="true" outlineLevel="0" collapsed="false">
      <c r="A7" s="12" t="s">
        <v>268</v>
      </c>
      <c r="B7" s="12"/>
      <c r="C7" s="13" t="s">
        <v>269</v>
      </c>
      <c r="D7" s="12" t="s">
        <v>263</v>
      </c>
      <c r="E7" s="14"/>
      <c r="F7" s="12" t="s">
        <v>270</v>
      </c>
      <c r="G7" s="17" t="s">
        <v>265</v>
      </c>
      <c r="H7" s="17" t="s">
        <v>266</v>
      </c>
      <c r="I7" s="17" t="s">
        <v>267</v>
      </c>
    </row>
    <row r="8" customFormat="false" ht="41.25" hidden="false" customHeight="true" outlineLevel="0" collapsed="false">
      <c r="A8" s="12" t="s">
        <v>271</v>
      </c>
      <c r="B8" s="12"/>
      <c r="C8" s="13" t="s">
        <v>272</v>
      </c>
      <c r="D8" s="12" t="s">
        <v>273</v>
      </c>
      <c r="E8" s="14"/>
      <c r="F8" s="12" t="s">
        <v>274</v>
      </c>
      <c r="G8" s="17" t="s">
        <v>265</v>
      </c>
      <c r="H8" s="17" t="s">
        <v>266</v>
      </c>
      <c r="I8" s="17" t="s">
        <v>267</v>
      </c>
    </row>
    <row r="9" customFormat="false" ht="41.25" hidden="false" customHeight="true" outlineLevel="0" collapsed="false">
      <c r="A9" s="12" t="s">
        <v>275</v>
      </c>
      <c r="B9" s="12"/>
      <c r="C9" s="13" t="s">
        <v>276</v>
      </c>
      <c r="D9" s="12" t="s">
        <v>263</v>
      </c>
      <c r="E9" s="14"/>
      <c r="F9" s="12" t="s">
        <v>277</v>
      </c>
      <c r="G9" s="17" t="s">
        <v>265</v>
      </c>
      <c r="H9" s="17" t="s">
        <v>266</v>
      </c>
      <c r="I9" s="17" t="s">
        <v>267</v>
      </c>
    </row>
    <row r="10" customFormat="false" ht="41.25" hidden="false" customHeight="true" outlineLevel="0" collapsed="false">
      <c r="A10" s="12" t="s">
        <v>278</v>
      </c>
      <c r="B10" s="12"/>
      <c r="C10" s="13" t="s">
        <v>279</v>
      </c>
      <c r="D10" s="12" t="s">
        <v>263</v>
      </c>
      <c r="E10" s="14"/>
      <c r="F10" s="12" t="s">
        <v>280</v>
      </c>
      <c r="G10" s="17" t="s">
        <v>265</v>
      </c>
      <c r="H10" s="17" t="s">
        <v>266</v>
      </c>
      <c r="I10" s="17" t="s">
        <v>267</v>
      </c>
    </row>
    <row r="11" customFormat="false" ht="41.25" hidden="false" customHeight="true" outlineLevel="0" collapsed="false">
      <c r="A11" s="12" t="s">
        <v>281</v>
      </c>
      <c r="B11" s="12"/>
      <c r="C11" s="13" t="s">
        <v>282</v>
      </c>
      <c r="D11" s="12" t="s">
        <v>283</v>
      </c>
      <c r="E11" s="14"/>
      <c r="F11" s="12" t="s">
        <v>284</v>
      </c>
      <c r="G11" s="17" t="s">
        <v>265</v>
      </c>
      <c r="H11" s="17" t="s">
        <v>266</v>
      </c>
      <c r="I11" s="17" t="s">
        <v>267</v>
      </c>
    </row>
    <row r="12" customFormat="false" ht="41.25" hidden="false" customHeight="true" outlineLevel="0" collapsed="false">
      <c r="A12" s="12" t="s">
        <v>285</v>
      </c>
      <c r="B12" s="12"/>
      <c r="C12" s="13" t="s">
        <v>286</v>
      </c>
      <c r="D12" s="12" t="s">
        <v>263</v>
      </c>
      <c r="E12" s="14"/>
      <c r="F12" s="12" t="s">
        <v>287</v>
      </c>
      <c r="G12" s="17" t="s">
        <v>265</v>
      </c>
      <c r="H12" s="17" t="s">
        <v>266</v>
      </c>
      <c r="I12" s="17" t="s">
        <v>267</v>
      </c>
    </row>
    <row r="13" customFormat="false" ht="41.25" hidden="false" customHeight="true" outlineLevel="0" collapsed="false">
      <c r="A13" s="12" t="s">
        <v>288</v>
      </c>
      <c r="B13" s="12"/>
      <c r="C13" s="13" t="s">
        <v>289</v>
      </c>
      <c r="D13" s="12" t="s">
        <v>263</v>
      </c>
      <c r="E13" s="14"/>
      <c r="F13" s="12" t="s">
        <v>290</v>
      </c>
      <c r="G13" s="17" t="s">
        <v>265</v>
      </c>
      <c r="H13" s="17" t="s">
        <v>266</v>
      </c>
      <c r="I13" s="17" t="s">
        <v>267</v>
      </c>
    </row>
    <row r="14" customFormat="false" ht="41.25" hidden="false" customHeight="true" outlineLevel="0" collapsed="false">
      <c r="A14" s="12" t="s">
        <v>291</v>
      </c>
      <c r="B14" s="12"/>
      <c r="C14" s="13" t="s">
        <v>292</v>
      </c>
      <c r="D14" s="12" t="s">
        <v>263</v>
      </c>
      <c r="E14" s="14"/>
      <c r="F14" s="12" t="s">
        <v>293</v>
      </c>
      <c r="G14" s="17" t="s">
        <v>265</v>
      </c>
      <c r="H14" s="17" t="s">
        <v>266</v>
      </c>
      <c r="I14" s="17" t="s">
        <v>267</v>
      </c>
    </row>
    <row r="15" customFormat="false" ht="41.25" hidden="false" customHeight="true" outlineLevel="0" collapsed="false">
      <c r="A15" s="12" t="s">
        <v>294</v>
      </c>
      <c r="B15" s="12"/>
      <c r="C15" s="13" t="s">
        <v>295</v>
      </c>
      <c r="D15" s="12" t="s">
        <v>263</v>
      </c>
      <c r="E15" s="14"/>
      <c r="F15" s="12" t="s">
        <v>296</v>
      </c>
      <c r="G15" s="17" t="s">
        <v>265</v>
      </c>
      <c r="H15" s="17" t="s">
        <v>266</v>
      </c>
      <c r="I15" s="17" t="s">
        <v>267</v>
      </c>
    </row>
    <row r="16" customFormat="false" ht="41.25" hidden="false" customHeight="true" outlineLevel="0" collapsed="false">
      <c r="A16" s="12" t="s">
        <v>297</v>
      </c>
      <c r="B16" s="12"/>
      <c r="C16" s="13" t="s">
        <v>298</v>
      </c>
      <c r="D16" s="12" t="s">
        <v>263</v>
      </c>
      <c r="E16" s="14"/>
      <c r="F16" s="12" t="s">
        <v>299</v>
      </c>
      <c r="G16" s="17" t="s">
        <v>265</v>
      </c>
      <c r="H16" s="17" t="s">
        <v>266</v>
      </c>
      <c r="I16" s="17" t="s">
        <v>267</v>
      </c>
    </row>
    <row r="18" customFormat="false" ht="14.2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</row>
    <row r="19" customFormat="false" ht="41.25" hidden="false" customHeight="true" outlineLevel="0" collapsed="false">
      <c r="A19" s="12" t="s">
        <v>300</v>
      </c>
      <c r="B19" s="12"/>
      <c r="C19" s="13" t="s">
        <v>301</v>
      </c>
      <c r="D19" s="12" t="s">
        <v>302</v>
      </c>
      <c r="E19" s="14"/>
      <c r="F19" s="12" t="s">
        <v>303</v>
      </c>
      <c r="G19" s="17" t="s">
        <v>304</v>
      </c>
      <c r="H19" s="17" t="s">
        <v>305</v>
      </c>
      <c r="I19" s="17" t="s">
        <v>306</v>
      </c>
    </row>
    <row r="20" customFormat="false" ht="41.25" hidden="false" customHeight="true" outlineLevel="0" collapsed="false">
      <c r="A20" s="12" t="s">
        <v>307</v>
      </c>
      <c r="B20" s="12"/>
      <c r="C20" s="13" t="s">
        <v>308</v>
      </c>
      <c r="D20" s="12" t="s">
        <v>302</v>
      </c>
      <c r="E20" s="14"/>
      <c r="F20" s="12" t="s">
        <v>309</v>
      </c>
      <c r="G20" s="17" t="s">
        <v>304</v>
      </c>
      <c r="H20" s="17" t="s">
        <v>305</v>
      </c>
      <c r="I20" s="17" t="s">
        <v>306</v>
      </c>
    </row>
    <row r="21" customFormat="false" ht="41.25" hidden="false" customHeight="true" outlineLevel="0" collapsed="false">
      <c r="A21" s="12" t="s">
        <v>310</v>
      </c>
      <c r="B21" s="12"/>
      <c r="C21" s="13" t="s">
        <v>311</v>
      </c>
      <c r="D21" s="12" t="s">
        <v>302</v>
      </c>
      <c r="E21" s="14"/>
      <c r="F21" s="12" t="s">
        <v>312</v>
      </c>
      <c r="G21" s="17" t="s">
        <v>304</v>
      </c>
      <c r="H21" s="17" t="s">
        <v>305</v>
      </c>
      <c r="I21" s="17" t="s">
        <v>306</v>
      </c>
    </row>
    <row r="22" customFormat="false" ht="41.25" hidden="false" customHeight="true" outlineLevel="0" collapsed="false">
      <c r="A22" s="12" t="s">
        <v>313</v>
      </c>
      <c r="B22" s="12"/>
      <c r="C22" s="13" t="s">
        <v>314</v>
      </c>
      <c r="D22" s="12" t="s">
        <v>302</v>
      </c>
      <c r="E22" s="14"/>
      <c r="F22" s="12" t="s">
        <v>315</v>
      </c>
      <c r="G22" s="17" t="s">
        <v>304</v>
      </c>
      <c r="H22" s="17" t="s">
        <v>305</v>
      </c>
      <c r="I22" s="17" t="s">
        <v>306</v>
      </c>
    </row>
    <row r="23" customFormat="false" ht="41.25" hidden="false" customHeight="true" outlineLevel="0" collapsed="false">
      <c r="A23" s="12" t="s">
        <v>316</v>
      </c>
      <c r="B23" s="12"/>
      <c r="C23" s="13" t="s">
        <v>317</v>
      </c>
      <c r="D23" s="12" t="s">
        <v>302</v>
      </c>
      <c r="E23" s="14"/>
      <c r="F23" s="12" t="s">
        <v>318</v>
      </c>
      <c r="G23" s="17" t="s">
        <v>304</v>
      </c>
      <c r="H23" s="17" t="s">
        <v>305</v>
      </c>
      <c r="I23" s="17" t="s">
        <v>306</v>
      </c>
    </row>
    <row r="24" customFormat="false" ht="41.25" hidden="false" customHeight="true" outlineLevel="0" collapsed="false">
      <c r="A24" s="12" t="s">
        <v>319</v>
      </c>
      <c r="B24" s="12"/>
      <c r="C24" s="13" t="s">
        <v>320</v>
      </c>
      <c r="D24" s="12" t="s">
        <v>263</v>
      </c>
      <c r="E24" s="14"/>
      <c r="F24" s="12" t="s">
        <v>321</v>
      </c>
      <c r="G24" s="17" t="s">
        <v>304</v>
      </c>
      <c r="H24" s="17" t="s">
        <v>305</v>
      </c>
      <c r="I24" s="17" t="s">
        <v>306</v>
      </c>
    </row>
    <row r="25" customFormat="false" ht="41.25" hidden="false" customHeight="true" outlineLevel="0" collapsed="false">
      <c r="A25" s="12" t="s">
        <v>322</v>
      </c>
      <c r="B25" s="12"/>
      <c r="C25" s="13" t="s">
        <v>323</v>
      </c>
      <c r="D25" s="12" t="s">
        <v>263</v>
      </c>
      <c r="E25" s="14"/>
      <c r="F25" s="12" t="s">
        <v>324</v>
      </c>
      <c r="G25" s="17" t="s">
        <v>304</v>
      </c>
      <c r="H25" s="17" t="s">
        <v>305</v>
      </c>
      <c r="I25" s="17" t="s">
        <v>306</v>
      </c>
    </row>
    <row r="26" customFormat="false" ht="41.25" hidden="false" customHeight="true" outlineLevel="0" collapsed="false">
      <c r="A26" s="12" t="s">
        <v>325</v>
      </c>
      <c r="B26" s="12"/>
      <c r="C26" s="13" t="s">
        <v>326</v>
      </c>
      <c r="D26" s="12" t="s">
        <v>263</v>
      </c>
      <c r="E26" s="14"/>
      <c r="F26" s="12" t="s">
        <v>327</v>
      </c>
      <c r="G26" s="17" t="s">
        <v>304</v>
      </c>
      <c r="H26" s="17" t="s">
        <v>305</v>
      </c>
      <c r="I26" s="17" t="s">
        <v>306</v>
      </c>
    </row>
    <row r="27" customFormat="false" ht="41.25" hidden="false" customHeight="true" outlineLevel="0" collapsed="false">
      <c r="A27" s="12" t="s">
        <v>328</v>
      </c>
      <c r="B27" s="12"/>
      <c r="C27" s="13" t="s">
        <v>329</v>
      </c>
      <c r="D27" s="12" t="s">
        <v>263</v>
      </c>
      <c r="E27" s="14"/>
      <c r="F27" s="12" t="s">
        <v>330</v>
      </c>
      <c r="G27" s="17" t="s">
        <v>304</v>
      </c>
      <c r="H27" s="17" t="s">
        <v>305</v>
      </c>
      <c r="I27" s="17" t="s">
        <v>306</v>
      </c>
    </row>
    <row r="28" customFormat="false" ht="41.25" hidden="false" customHeight="true" outlineLevel="0" collapsed="false">
      <c r="A28" s="12" t="s">
        <v>331</v>
      </c>
      <c r="B28" s="12"/>
      <c r="C28" s="13" t="s">
        <v>332</v>
      </c>
      <c r="D28" s="12" t="s">
        <v>333</v>
      </c>
      <c r="E28" s="14"/>
      <c r="F28" s="12" t="s">
        <v>334</v>
      </c>
      <c r="G28" s="17" t="s">
        <v>304</v>
      </c>
      <c r="H28" s="17" t="s">
        <v>305</v>
      </c>
      <c r="I28" s="17" t="s">
        <v>306</v>
      </c>
    </row>
    <row r="30" customFormat="false" ht="14.2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</row>
    <row r="31" customFormat="false" ht="27" hidden="false" customHeight="true" outlineLevel="0" collapsed="false">
      <c r="A31" s="12" t="s">
        <v>335</v>
      </c>
      <c r="B31" s="12"/>
      <c r="C31" s="13" t="s">
        <v>336</v>
      </c>
      <c r="D31" s="12" t="s">
        <v>263</v>
      </c>
      <c r="E31" s="14"/>
      <c r="F31" s="12" t="s">
        <v>337</v>
      </c>
      <c r="G31" s="17" t="s">
        <v>338</v>
      </c>
      <c r="H31" s="17" t="s">
        <v>339</v>
      </c>
      <c r="I31" s="17" t="s">
        <v>340</v>
      </c>
    </row>
    <row r="32" customFormat="false" ht="27" hidden="false" customHeight="true" outlineLevel="0" collapsed="false">
      <c r="A32" s="12" t="s">
        <v>341</v>
      </c>
      <c r="B32" s="12"/>
      <c r="C32" s="13" t="s">
        <v>342</v>
      </c>
      <c r="D32" s="12" t="s">
        <v>263</v>
      </c>
      <c r="E32" s="14"/>
      <c r="F32" s="12" t="s">
        <v>343</v>
      </c>
      <c r="G32" s="17" t="s">
        <v>338</v>
      </c>
      <c r="H32" s="17" t="s">
        <v>339</v>
      </c>
      <c r="I32" s="17" t="s">
        <v>340</v>
      </c>
    </row>
    <row r="33" customFormat="false" ht="27" hidden="false" customHeight="true" outlineLevel="0" collapsed="false">
      <c r="A33" s="12" t="s">
        <v>344</v>
      </c>
      <c r="B33" s="12"/>
      <c r="C33" s="13" t="s">
        <v>345</v>
      </c>
      <c r="D33" s="12" t="s">
        <v>263</v>
      </c>
      <c r="E33" s="14"/>
      <c r="F33" s="12" t="s">
        <v>346</v>
      </c>
      <c r="G33" s="17" t="s">
        <v>338</v>
      </c>
      <c r="H33" s="17" t="s">
        <v>339</v>
      </c>
      <c r="I33" s="17" t="s">
        <v>340</v>
      </c>
    </row>
    <row r="34" customFormat="false" ht="27" hidden="false" customHeight="true" outlineLevel="0" collapsed="false">
      <c r="A34" s="12" t="s">
        <v>347</v>
      </c>
      <c r="B34" s="12"/>
      <c r="C34" s="13" t="s">
        <v>348</v>
      </c>
      <c r="D34" s="12" t="s">
        <v>349</v>
      </c>
      <c r="E34" s="14"/>
      <c r="F34" s="12" t="s">
        <v>350</v>
      </c>
      <c r="G34" s="17" t="s">
        <v>338</v>
      </c>
      <c r="H34" s="17" t="s">
        <v>339</v>
      </c>
      <c r="I34" s="17" t="s">
        <v>340</v>
      </c>
    </row>
    <row r="35" customFormat="false" ht="27" hidden="false" customHeight="true" outlineLevel="0" collapsed="false">
      <c r="A35" s="12" t="s">
        <v>351</v>
      </c>
      <c r="B35" s="12"/>
      <c r="C35" s="13" t="s">
        <v>352</v>
      </c>
      <c r="D35" s="12" t="s">
        <v>353</v>
      </c>
      <c r="E35" s="14"/>
      <c r="F35" s="12" t="s">
        <v>354</v>
      </c>
      <c r="G35" s="17" t="s">
        <v>338</v>
      </c>
      <c r="H35" s="17" t="s">
        <v>339</v>
      </c>
      <c r="I35" s="17" t="s">
        <v>340</v>
      </c>
    </row>
    <row r="36" customFormat="false" ht="27" hidden="false" customHeight="true" outlineLevel="0" collapsed="false">
      <c r="A36" s="12" t="s">
        <v>355</v>
      </c>
      <c r="B36" s="12"/>
      <c r="C36" s="13" t="s">
        <v>356</v>
      </c>
      <c r="D36" s="12" t="s">
        <v>263</v>
      </c>
      <c r="E36" s="14"/>
      <c r="F36" s="12" t="s">
        <v>357</v>
      </c>
      <c r="G36" s="17" t="s">
        <v>338</v>
      </c>
      <c r="H36" s="17" t="s">
        <v>339</v>
      </c>
      <c r="I36" s="17" t="s">
        <v>340</v>
      </c>
    </row>
    <row r="37" customFormat="false" ht="27" hidden="false" customHeight="true" outlineLevel="0" collapsed="false">
      <c r="A37" s="12" t="s">
        <v>358</v>
      </c>
      <c r="B37" s="12"/>
      <c r="C37" s="13" t="s">
        <v>359</v>
      </c>
      <c r="D37" s="12" t="s">
        <v>263</v>
      </c>
      <c r="E37" s="14"/>
      <c r="F37" s="12" t="s">
        <v>360</v>
      </c>
      <c r="G37" s="17" t="s">
        <v>338</v>
      </c>
      <c r="H37" s="17" t="s">
        <v>339</v>
      </c>
      <c r="I37" s="17" t="s">
        <v>340</v>
      </c>
    </row>
    <row r="39" customFormat="false" ht="14.2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</row>
    <row r="40" customFormat="false" ht="41.25" hidden="false" customHeight="true" outlineLevel="0" collapsed="false">
      <c r="A40" s="12" t="s">
        <v>361</v>
      </c>
      <c r="B40" s="12"/>
      <c r="C40" s="13" t="s">
        <v>362</v>
      </c>
      <c r="D40" s="12" t="s">
        <v>363</v>
      </c>
      <c r="E40" s="14"/>
      <c r="F40" s="12" t="s">
        <v>364</v>
      </c>
      <c r="G40" s="17" t="s">
        <v>365</v>
      </c>
      <c r="H40" s="17" t="s">
        <v>366</v>
      </c>
      <c r="I40" s="17" t="s">
        <v>367</v>
      </c>
    </row>
    <row r="41" customFormat="false" ht="41.25" hidden="false" customHeight="true" outlineLevel="0" collapsed="false">
      <c r="A41" s="12" t="s">
        <v>368</v>
      </c>
      <c r="B41" s="12"/>
      <c r="C41" s="13" t="s">
        <v>369</v>
      </c>
      <c r="D41" s="12" t="s">
        <v>363</v>
      </c>
      <c r="E41" s="14"/>
      <c r="F41" s="12" t="s">
        <v>370</v>
      </c>
      <c r="G41" s="17" t="s">
        <v>365</v>
      </c>
      <c r="H41" s="17" t="s">
        <v>366</v>
      </c>
      <c r="I41" s="17" t="s">
        <v>367</v>
      </c>
    </row>
    <row r="42" customFormat="false" ht="41.25" hidden="false" customHeight="true" outlineLevel="0" collapsed="false">
      <c r="A42" s="12" t="s">
        <v>371</v>
      </c>
      <c r="B42" s="12"/>
      <c r="C42" s="13" t="s">
        <v>372</v>
      </c>
      <c r="D42" s="12" t="s">
        <v>373</v>
      </c>
      <c r="E42" s="14"/>
      <c r="F42" s="12" t="s">
        <v>374</v>
      </c>
      <c r="G42" s="17" t="s">
        <v>365</v>
      </c>
      <c r="H42" s="17" t="s">
        <v>366</v>
      </c>
      <c r="I42" s="17" t="s">
        <v>367</v>
      </c>
    </row>
    <row r="43" customFormat="false" ht="41.25" hidden="false" customHeight="true" outlineLevel="0" collapsed="false">
      <c r="A43" s="12" t="s">
        <v>375</v>
      </c>
      <c r="B43" s="12"/>
      <c r="C43" s="13" t="s">
        <v>376</v>
      </c>
      <c r="D43" s="12" t="s">
        <v>373</v>
      </c>
      <c r="E43" s="14"/>
      <c r="F43" s="12" t="s">
        <v>377</v>
      </c>
      <c r="G43" s="17" t="s">
        <v>365</v>
      </c>
      <c r="H43" s="17" t="s">
        <v>366</v>
      </c>
      <c r="I43" s="17" t="s">
        <v>367</v>
      </c>
    </row>
    <row r="44" customFormat="false" ht="41.25" hidden="false" customHeight="true" outlineLevel="0" collapsed="false">
      <c r="A44" s="12" t="s">
        <v>378</v>
      </c>
      <c r="B44" s="12"/>
      <c r="C44" s="13" t="s">
        <v>379</v>
      </c>
      <c r="D44" s="12" t="s">
        <v>380</v>
      </c>
      <c r="E44" s="14"/>
      <c r="F44" s="12" t="s">
        <v>381</v>
      </c>
      <c r="G44" s="17" t="s">
        <v>365</v>
      </c>
      <c r="H44" s="17" t="s">
        <v>366</v>
      </c>
      <c r="I44" s="17" t="s">
        <v>367</v>
      </c>
    </row>
    <row r="45" customFormat="false" ht="41.25" hidden="false" customHeight="true" outlineLevel="0" collapsed="false">
      <c r="A45" s="12" t="s">
        <v>382</v>
      </c>
      <c r="B45" s="12"/>
      <c r="C45" s="13" t="s">
        <v>383</v>
      </c>
      <c r="D45" s="12" t="s">
        <v>373</v>
      </c>
      <c r="E45" s="14"/>
      <c r="F45" s="12" t="s">
        <v>384</v>
      </c>
      <c r="G45" s="17" t="s">
        <v>365</v>
      </c>
      <c r="H45" s="17" t="s">
        <v>366</v>
      </c>
      <c r="I45" s="17" t="s">
        <v>367</v>
      </c>
    </row>
    <row r="46" customFormat="false" ht="41.25" hidden="false" customHeight="true" outlineLevel="0" collapsed="false">
      <c r="A46" s="12" t="s">
        <v>385</v>
      </c>
      <c r="B46" s="12"/>
      <c r="C46" s="13" t="s">
        <v>386</v>
      </c>
      <c r="D46" s="12" t="s">
        <v>353</v>
      </c>
      <c r="E46" s="14"/>
      <c r="F46" s="12" t="s">
        <v>387</v>
      </c>
      <c r="G46" s="17" t="s">
        <v>365</v>
      </c>
      <c r="H46" s="17" t="s">
        <v>366</v>
      </c>
      <c r="I46" s="17" t="s">
        <v>367</v>
      </c>
    </row>
    <row r="47" customFormat="false" ht="41.25" hidden="false" customHeight="true" outlineLevel="0" collapsed="false">
      <c r="A47" s="12" t="s">
        <v>388</v>
      </c>
      <c r="B47" s="12"/>
      <c r="C47" s="13" t="s">
        <v>389</v>
      </c>
      <c r="D47" s="12" t="s">
        <v>263</v>
      </c>
      <c r="E47" s="14"/>
      <c r="F47" s="12" t="s">
        <v>390</v>
      </c>
      <c r="G47" s="17" t="s">
        <v>365</v>
      </c>
      <c r="H47" s="17" t="s">
        <v>366</v>
      </c>
      <c r="I47" s="17" t="s">
        <v>367</v>
      </c>
    </row>
    <row r="48" customFormat="false" ht="41.25" hidden="false" customHeight="true" outlineLevel="0" collapsed="false">
      <c r="A48" s="12" t="s">
        <v>391</v>
      </c>
      <c r="B48" s="12"/>
      <c r="C48" s="13" t="s">
        <v>392</v>
      </c>
      <c r="D48" s="12" t="s">
        <v>263</v>
      </c>
      <c r="E48" s="14"/>
      <c r="F48" s="12" t="s">
        <v>393</v>
      </c>
      <c r="G48" s="17" t="s">
        <v>365</v>
      </c>
      <c r="H48" s="17" t="s">
        <v>366</v>
      </c>
      <c r="I48" s="17" t="s">
        <v>367</v>
      </c>
    </row>
    <row r="49" customFormat="false" ht="41.25" hidden="false" customHeight="true" outlineLevel="0" collapsed="false">
      <c r="A49" s="12" t="s">
        <v>394</v>
      </c>
      <c r="B49" s="12"/>
      <c r="C49" s="13" t="s">
        <v>395</v>
      </c>
      <c r="D49" s="12" t="s">
        <v>373</v>
      </c>
      <c r="E49" s="14"/>
      <c r="F49" s="12" t="s">
        <v>396</v>
      </c>
      <c r="G49" s="17" t="s">
        <v>365</v>
      </c>
      <c r="H49" s="17" t="s">
        <v>366</v>
      </c>
      <c r="I49" s="17" t="s">
        <v>367</v>
      </c>
    </row>
    <row r="51" customFormat="false" ht="14.25" hidden="false" customHeight="true" outlineLevel="0" collapsed="false">
      <c r="A51" s="11"/>
      <c r="B51" s="11"/>
      <c r="C51" s="11"/>
      <c r="D51" s="11"/>
      <c r="E51" s="11"/>
      <c r="F51" s="11"/>
      <c r="G51" s="11"/>
      <c r="H51" s="11"/>
      <c r="I51" s="11"/>
    </row>
    <row r="52" customFormat="false" ht="41.25" hidden="false" customHeight="true" outlineLevel="0" collapsed="false">
      <c r="A52" s="12" t="s">
        <v>397</v>
      </c>
      <c r="B52" s="12"/>
      <c r="C52" s="13" t="s">
        <v>398</v>
      </c>
      <c r="D52" s="12" t="s">
        <v>399</v>
      </c>
      <c r="E52" s="14"/>
      <c r="F52" s="12" t="s">
        <v>400</v>
      </c>
      <c r="G52" s="17" t="s">
        <v>401</v>
      </c>
      <c r="H52" s="17" t="s">
        <v>402</v>
      </c>
      <c r="I52" s="17" t="s">
        <v>403</v>
      </c>
    </row>
    <row r="53" customFormat="false" ht="41.25" hidden="false" customHeight="true" outlineLevel="0" collapsed="false">
      <c r="A53" s="12" t="s">
        <v>404</v>
      </c>
      <c r="B53" s="12"/>
      <c r="C53" s="13" t="s">
        <v>405</v>
      </c>
      <c r="D53" s="12" t="s">
        <v>399</v>
      </c>
      <c r="E53" s="14"/>
      <c r="F53" s="12" t="s">
        <v>406</v>
      </c>
      <c r="G53" s="17" t="s">
        <v>401</v>
      </c>
      <c r="H53" s="17" t="s">
        <v>402</v>
      </c>
      <c r="I53" s="17" t="s">
        <v>403</v>
      </c>
    </row>
    <row r="54" customFormat="false" ht="41.25" hidden="false" customHeight="true" outlineLevel="0" collapsed="false">
      <c r="A54" s="12" t="s">
        <v>407</v>
      </c>
      <c r="B54" s="12"/>
      <c r="C54" s="13" t="s">
        <v>408</v>
      </c>
      <c r="D54" s="12" t="s">
        <v>409</v>
      </c>
      <c r="E54" s="14"/>
      <c r="F54" s="12" t="s">
        <v>410</v>
      </c>
      <c r="G54" s="17" t="s">
        <v>401</v>
      </c>
      <c r="H54" s="17" t="s">
        <v>402</v>
      </c>
      <c r="I54" s="17" t="s">
        <v>403</v>
      </c>
    </row>
    <row r="55" customFormat="false" ht="41.25" hidden="false" customHeight="true" outlineLevel="0" collapsed="false">
      <c r="A55" s="12" t="s">
        <v>411</v>
      </c>
      <c r="B55" s="12"/>
      <c r="C55" s="13" t="s">
        <v>412</v>
      </c>
      <c r="D55" s="12" t="s">
        <v>409</v>
      </c>
      <c r="E55" s="14"/>
      <c r="F55" s="12" t="s">
        <v>410</v>
      </c>
      <c r="G55" s="17" t="s">
        <v>401</v>
      </c>
      <c r="H55" s="17" t="s">
        <v>402</v>
      </c>
      <c r="I55" s="17" t="s">
        <v>403</v>
      </c>
    </row>
    <row r="56" customFormat="false" ht="41.25" hidden="false" customHeight="true" outlineLevel="0" collapsed="false">
      <c r="A56" s="12" t="s">
        <v>413</v>
      </c>
      <c r="B56" s="12"/>
      <c r="C56" s="13" t="s">
        <v>414</v>
      </c>
      <c r="D56" s="12" t="s">
        <v>409</v>
      </c>
      <c r="E56" s="14"/>
      <c r="F56" s="12" t="s">
        <v>415</v>
      </c>
      <c r="G56" s="17" t="s">
        <v>401</v>
      </c>
      <c r="H56" s="17" t="s">
        <v>402</v>
      </c>
      <c r="I56" s="17" t="s">
        <v>403</v>
      </c>
    </row>
  </sheetData>
  <mergeCells count="7">
    <mergeCell ref="A1:I1"/>
    <mergeCell ref="A2:I2"/>
    <mergeCell ref="A5:I5"/>
    <mergeCell ref="A18:I18"/>
    <mergeCell ref="A30:I30"/>
    <mergeCell ref="A39:I39"/>
    <mergeCell ref="A51:I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32.76"/>
    <col collapsed="false" customWidth="true" hidden="false" outlineLevel="0" max="7" min="7" style="1" width="45"/>
    <col collapsed="false" customWidth="true" hidden="false" outlineLevel="0" max="8" min="8" style="1" width="40"/>
    <col collapsed="false" customWidth="true" hidden="false" outlineLevel="0" max="9" min="9" style="1" width="35"/>
  </cols>
  <sheetData>
    <row r="1" customFormat="false" ht="18" hidden="false" customHeight="true" outlineLevel="0" collapsed="false">
      <c r="A1" s="8" t="s">
        <v>416</v>
      </c>
      <c r="B1" s="8"/>
      <c r="C1" s="8"/>
      <c r="D1" s="8"/>
      <c r="E1" s="8"/>
      <c r="F1" s="8"/>
      <c r="G1" s="8"/>
      <c r="H1" s="8"/>
      <c r="I1" s="8"/>
    </row>
    <row r="2" customFormat="false" ht="14.25" hidden="false" customHeight="true" outlineLevel="0" collapsed="false">
      <c r="A2" s="15" t="s">
        <v>417</v>
      </c>
      <c r="B2" s="15"/>
      <c r="C2" s="15"/>
      <c r="D2" s="15"/>
      <c r="E2" s="15"/>
      <c r="F2" s="15"/>
      <c r="G2" s="15"/>
      <c r="H2" s="15"/>
      <c r="I2" s="15"/>
    </row>
    <row r="4" customFormat="false" ht="28.5" hidden="false" customHeight="true" outlineLevel="0" collapsed="false">
      <c r="A4" s="10" t="s">
        <v>58</v>
      </c>
      <c r="B4" s="10" t="s">
        <v>59</v>
      </c>
      <c r="C4" s="10" t="s">
        <v>254</v>
      </c>
      <c r="D4" s="10" t="s">
        <v>255</v>
      </c>
      <c r="E4" s="10" t="s">
        <v>256</v>
      </c>
      <c r="F4" s="10" t="s">
        <v>257</v>
      </c>
      <c r="G4" s="16" t="s">
        <v>258</v>
      </c>
      <c r="H4" s="16" t="s">
        <v>259</v>
      </c>
      <c r="I4" s="16" t="s">
        <v>260</v>
      </c>
    </row>
    <row r="5" customFormat="false" ht="14.2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54.75" hidden="false" customHeight="true" outlineLevel="0" collapsed="false">
      <c r="A6" s="12" t="s">
        <v>261</v>
      </c>
      <c r="B6" s="12"/>
      <c r="C6" s="13" t="s">
        <v>418</v>
      </c>
      <c r="D6" s="12" t="s">
        <v>263</v>
      </c>
      <c r="E6" s="14"/>
      <c r="F6" s="12" t="s">
        <v>419</v>
      </c>
      <c r="G6" s="17" t="s">
        <v>420</v>
      </c>
      <c r="H6" s="17" t="s">
        <v>421</v>
      </c>
      <c r="I6" s="17" t="s">
        <v>422</v>
      </c>
    </row>
    <row r="7" customFormat="false" ht="54.75" hidden="false" customHeight="true" outlineLevel="0" collapsed="false">
      <c r="A7" s="12" t="s">
        <v>268</v>
      </c>
      <c r="B7" s="12"/>
      <c r="C7" s="13" t="s">
        <v>423</v>
      </c>
      <c r="D7" s="12" t="s">
        <v>263</v>
      </c>
      <c r="E7" s="14"/>
      <c r="F7" s="12" t="s">
        <v>424</v>
      </c>
      <c r="G7" s="17" t="s">
        <v>420</v>
      </c>
      <c r="H7" s="17" t="s">
        <v>421</v>
      </c>
      <c r="I7" s="17" t="s">
        <v>422</v>
      </c>
    </row>
    <row r="8" customFormat="false" ht="54.75" hidden="false" customHeight="true" outlineLevel="0" collapsed="false">
      <c r="A8" s="12" t="s">
        <v>271</v>
      </c>
      <c r="B8" s="12"/>
      <c r="C8" s="13" t="s">
        <v>425</v>
      </c>
      <c r="D8" s="12" t="s">
        <v>263</v>
      </c>
      <c r="E8" s="14"/>
      <c r="F8" s="12" t="s">
        <v>426</v>
      </c>
      <c r="G8" s="17" t="s">
        <v>420</v>
      </c>
      <c r="H8" s="17" t="s">
        <v>421</v>
      </c>
      <c r="I8" s="17" t="s">
        <v>422</v>
      </c>
    </row>
    <row r="9" customFormat="false" ht="54.75" hidden="false" customHeight="true" outlineLevel="0" collapsed="false">
      <c r="A9" s="12" t="s">
        <v>275</v>
      </c>
      <c r="B9" s="12"/>
      <c r="C9" s="13" t="s">
        <v>427</v>
      </c>
      <c r="D9" s="12" t="s">
        <v>263</v>
      </c>
      <c r="E9" s="14"/>
      <c r="F9" s="12" t="s">
        <v>428</v>
      </c>
      <c r="G9" s="17" t="s">
        <v>420</v>
      </c>
      <c r="H9" s="17" t="s">
        <v>421</v>
      </c>
      <c r="I9" s="17" t="s">
        <v>422</v>
      </c>
    </row>
    <row r="10" customFormat="false" ht="54.75" hidden="false" customHeight="true" outlineLevel="0" collapsed="false">
      <c r="A10" s="12" t="s">
        <v>278</v>
      </c>
      <c r="B10" s="12"/>
      <c r="C10" s="13" t="s">
        <v>429</v>
      </c>
      <c r="D10" s="12" t="s">
        <v>263</v>
      </c>
      <c r="E10" s="14"/>
      <c r="F10" s="12" t="s">
        <v>430</v>
      </c>
      <c r="G10" s="17" t="s">
        <v>420</v>
      </c>
      <c r="H10" s="17" t="s">
        <v>421</v>
      </c>
      <c r="I10" s="17" t="s">
        <v>422</v>
      </c>
    </row>
    <row r="11" customFormat="false" ht="54.75" hidden="false" customHeight="true" outlineLevel="0" collapsed="false">
      <c r="A11" s="12" t="s">
        <v>281</v>
      </c>
      <c r="B11" s="12"/>
      <c r="C11" s="13" t="s">
        <v>431</v>
      </c>
      <c r="D11" s="12" t="s">
        <v>263</v>
      </c>
      <c r="E11" s="14"/>
      <c r="F11" s="12" t="s">
        <v>432</v>
      </c>
      <c r="G11" s="17" t="s">
        <v>420</v>
      </c>
      <c r="H11" s="17" t="s">
        <v>421</v>
      </c>
      <c r="I11" s="17" t="s">
        <v>422</v>
      </c>
    </row>
    <row r="12" customFormat="false" ht="54.75" hidden="false" customHeight="true" outlineLevel="0" collapsed="false">
      <c r="A12" s="12" t="s">
        <v>285</v>
      </c>
      <c r="B12" s="12"/>
      <c r="C12" s="13" t="s">
        <v>433</v>
      </c>
      <c r="D12" s="12" t="s">
        <v>263</v>
      </c>
      <c r="E12" s="14"/>
      <c r="F12" s="12" t="s">
        <v>434</v>
      </c>
      <c r="G12" s="17" t="s">
        <v>420</v>
      </c>
      <c r="H12" s="17" t="s">
        <v>421</v>
      </c>
      <c r="I12" s="17" t="s">
        <v>422</v>
      </c>
    </row>
    <row r="13" customFormat="false" ht="54.75" hidden="false" customHeight="true" outlineLevel="0" collapsed="false">
      <c r="A13" s="12" t="s">
        <v>288</v>
      </c>
      <c r="B13" s="12"/>
      <c r="C13" s="13" t="s">
        <v>435</v>
      </c>
      <c r="D13" s="12" t="s">
        <v>373</v>
      </c>
      <c r="E13" s="14"/>
      <c r="F13" s="12" t="s">
        <v>436</v>
      </c>
      <c r="G13" s="17" t="s">
        <v>420</v>
      </c>
      <c r="H13" s="17" t="s">
        <v>421</v>
      </c>
      <c r="I13" s="17" t="s">
        <v>422</v>
      </c>
    </row>
    <row r="14" customFormat="false" ht="54.75" hidden="false" customHeight="true" outlineLevel="0" collapsed="false">
      <c r="A14" s="12" t="s">
        <v>291</v>
      </c>
      <c r="B14" s="12"/>
      <c r="C14" s="13" t="s">
        <v>437</v>
      </c>
      <c r="D14" s="12" t="s">
        <v>263</v>
      </c>
      <c r="E14" s="14"/>
      <c r="F14" s="12" t="s">
        <v>438</v>
      </c>
      <c r="G14" s="17" t="s">
        <v>420</v>
      </c>
      <c r="H14" s="17" t="s">
        <v>421</v>
      </c>
      <c r="I14" s="17" t="s">
        <v>422</v>
      </c>
    </row>
    <row r="16" customFormat="false" ht="14.2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</row>
    <row r="17" customFormat="false" ht="41.25" hidden="false" customHeight="true" outlineLevel="0" collapsed="false">
      <c r="A17" s="12" t="s">
        <v>300</v>
      </c>
      <c r="B17" s="12"/>
      <c r="C17" s="13" t="s">
        <v>439</v>
      </c>
      <c r="D17" s="12" t="s">
        <v>273</v>
      </c>
      <c r="E17" s="14"/>
      <c r="F17" s="12" t="s">
        <v>440</v>
      </c>
      <c r="G17" s="17" t="s">
        <v>441</v>
      </c>
      <c r="H17" s="17" t="s">
        <v>442</v>
      </c>
      <c r="I17" s="17" t="s">
        <v>443</v>
      </c>
    </row>
    <row r="18" customFormat="false" ht="41.25" hidden="false" customHeight="true" outlineLevel="0" collapsed="false">
      <c r="A18" s="12" t="s">
        <v>307</v>
      </c>
      <c r="B18" s="12"/>
      <c r="C18" s="13" t="s">
        <v>444</v>
      </c>
      <c r="D18" s="12" t="s">
        <v>263</v>
      </c>
      <c r="E18" s="14"/>
      <c r="F18" s="12" t="s">
        <v>445</v>
      </c>
      <c r="G18" s="17" t="s">
        <v>441</v>
      </c>
      <c r="H18" s="17" t="s">
        <v>442</v>
      </c>
      <c r="I18" s="17" t="s">
        <v>443</v>
      </c>
    </row>
    <row r="19" customFormat="false" ht="41.25" hidden="false" customHeight="true" outlineLevel="0" collapsed="false">
      <c r="A19" s="12" t="s">
        <v>310</v>
      </c>
      <c r="B19" s="12"/>
      <c r="C19" s="13" t="s">
        <v>446</v>
      </c>
      <c r="D19" s="12" t="s">
        <v>263</v>
      </c>
      <c r="E19" s="14"/>
      <c r="F19" s="12" t="s">
        <v>447</v>
      </c>
      <c r="G19" s="17" t="s">
        <v>441</v>
      </c>
      <c r="H19" s="17" t="s">
        <v>442</v>
      </c>
      <c r="I19" s="17" t="s">
        <v>443</v>
      </c>
    </row>
    <row r="20" customFormat="false" ht="41.25" hidden="false" customHeight="true" outlineLevel="0" collapsed="false">
      <c r="A20" s="12" t="s">
        <v>313</v>
      </c>
      <c r="B20" s="12"/>
      <c r="C20" s="13" t="s">
        <v>448</v>
      </c>
      <c r="D20" s="12" t="s">
        <v>263</v>
      </c>
      <c r="E20" s="14"/>
      <c r="F20" s="12" t="s">
        <v>449</v>
      </c>
      <c r="G20" s="17" t="s">
        <v>441</v>
      </c>
      <c r="H20" s="17" t="s">
        <v>442</v>
      </c>
      <c r="I20" s="17" t="s">
        <v>443</v>
      </c>
    </row>
    <row r="21" customFormat="false" ht="41.25" hidden="false" customHeight="true" outlineLevel="0" collapsed="false">
      <c r="A21" s="12" t="s">
        <v>316</v>
      </c>
      <c r="B21" s="12"/>
      <c r="C21" s="13" t="s">
        <v>450</v>
      </c>
      <c r="D21" s="12" t="s">
        <v>263</v>
      </c>
      <c r="E21" s="14"/>
      <c r="F21" s="12" t="s">
        <v>451</v>
      </c>
      <c r="G21" s="17" t="s">
        <v>441</v>
      </c>
      <c r="H21" s="17" t="s">
        <v>442</v>
      </c>
      <c r="I21" s="17" t="s">
        <v>443</v>
      </c>
    </row>
    <row r="22" customFormat="false" ht="41.25" hidden="false" customHeight="true" outlineLevel="0" collapsed="false">
      <c r="A22" s="12" t="s">
        <v>319</v>
      </c>
      <c r="B22" s="12"/>
      <c r="C22" s="13" t="s">
        <v>452</v>
      </c>
      <c r="D22" s="12" t="s">
        <v>263</v>
      </c>
      <c r="E22" s="14"/>
      <c r="F22" s="12" t="s">
        <v>453</v>
      </c>
      <c r="G22" s="17" t="s">
        <v>441</v>
      </c>
      <c r="H22" s="17" t="s">
        <v>442</v>
      </c>
      <c r="I22" s="17" t="s">
        <v>443</v>
      </c>
    </row>
    <row r="23" customFormat="false" ht="41.25" hidden="false" customHeight="true" outlineLevel="0" collapsed="false">
      <c r="A23" s="12" t="s">
        <v>322</v>
      </c>
      <c r="B23" s="12"/>
      <c r="C23" s="13" t="s">
        <v>454</v>
      </c>
      <c r="D23" s="12" t="s">
        <v>263</v>
      </c>
      <c r="E23" s="14"/>
      <c r="F23" s="12" t="s">
        <v>455</v>
      </c>
      <c r="G23" s="17" t="s">
        <v>441</v>
      </c>
      <c r="H23" s="17" t="s">
        <v>442</v>
      </c>
      <c r="I23" s="17" t="s">
        <v>443</v>
      </c>
    </row>
    <row r="24" customFormat="false" ht="41.25" hidden="false" customHeight="true" outlineLevel="0" collapsed="false">
      <c r="A24" s="12" t="s">
        <v>325</v>
      </c>
      <c r="B24" s="12"/>
      <c r="C24" s="13" t="s">
        <v>456</v>
      </c>
      <c r="D24" s="12" t="s">
        <v>283</v>
      </c>
      <c r="E24" s="14"/>
      <c r="F24" s="12" t="s">
        <v>457</v>
      </c>
      <c r="G24" s="17" t="s">
        <v>441</v>
      </c>
      <c r="H24" s="17" t="s">
        <v>442</v>
      </c>
      <c r="I24" s="17" t="s">
        <v>443</v>
      </c>
    </row>
    <row r="25" customFormat="false" ht="41.25" hidden="false" customHeight="true" outlineLevel="0" collapsed="false">
      <c r="A25" s="12" t="s">
        <v>328</v>
      </c>
      <c r="B25" s="12"/>
      <c r="C25" s="13" t="s">
        <v>458</v>
      </c>
      <c r="D25" s="12" t="s">
        <v>263</v>
      </c>
      <c r="E25" s="14"/>
      <c r="F25" s="12" t="s">
        <v>459</v>
      </c>
      <c r="G25" s="17" t="s">
        <v>441</v>
      </c>
      <c r="H25" s="17" t="s">
        <v>442</v>
      </c>
      <c r="I25" s="17" t="s">
        <v>443</v>
      </c>
    </row>
    <row r="26" customFormat="false" ht="41.25" hidden="false" customHeight="true" outlineLevel="0" collapsed="false">
      <c r="A26" s="12" t="s">
        <v>331</v>
      </c>
      <c r="B26" s="12"/>
      <c r="C26" s="13" t="s">
        <v>460</v>
      </c>
      <c r="D26" s="12" t="s">
        <v>263</v>
      </c>
      <c r="E26" s="14"/>
      <c r="F26" s="12" t="s">
        <v>461</v>
      </c>
      <c r="G26" s="17" t="s">
        <v>441</v>
      </c>
      <c r="H26" s="17" t="s">
        <v>442</v>
      </c>
      <c r="I26" s="17" t="s">
        <v>443</v>
      </c>
    </row>
    <row r="28" customFormat="false" ht="14.2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</row>
    <row r="29" customFormat="false" ht="27" hidden="false" customHeight="true" outlineLevel="0" collapsed="false">
      <c r="A29" s="12" t="s">
        <v>335</v>
      </c>
      <c r="B29" s="12"/>
      <c r="C29" s="13" t="s">
        <v>462</v>
      </c>
      <c r="D29" s="12" t="s">
        <v>302</v>
      </c>
      <c r="E29" s="14"/>
      <c r="F29" s="12" t="s">
        <v>463</v>
      </c>
      <c r="G29" s="17" t="s">
        <v>464</v>
      </c>
      <c r="H29" s="17" t="s">
        <v>465</v>
      </c>
      <c r="I29" s="17" t="s">
        <v>466</v>
      </c>
    </row>
    <row r="30" customFormat="false" ht="27" hidden="false" customHeight="true" outlineLevel="0" collapsed="false">
      <c r="A30" s="12" t="s">
        <v>341</v>
      </c>
      <c r="B30" s="12"/>
      <c r="C30" s="13" t="s">
        <v>467</v>
      </c>
      <c r="D30" s="12" t="s">
        <v>302</v>
      </c>
      <c r="E30" s="14"/>
      <c r="F30" s="12" t="s">
        <v>468</v>
      </c>
      <c r="G30" s="17" t="s">
        <v>464</v>
      </c>
      <c r="H30" s="17" t="s">
        <v>465</v>
      </c>
      <c r="I30" s="17" t="s">
        <v>466</v>
      </c>
    </row>
    <row r="31" customFormat="false" ht="27" hidden="false" customHeight="true" outlineLevel="0" collapsed="false">
      <c r="A31" s="12" t="s">
        <v>344</v>
      </c>
      <c r="B31" s="12"/>
      <c r="C31" s="13" t="s">
        <v>469</v>
      </c>
      <c r="D31" s="12" t="s">
        <v>302</v>
      </c>
      <c r="E31" s="14"/>
      <c r="F31" s="12" t="s">
        <v>470</v>
      </c>
      <c r="G31" s="17" t="s">
        <v>464</v>
      </c>
      <c r="H31" s="17" t="s">
        <v>465</v>
      </c>
      <c r="I31" s="17" t="s">
        <v>466</v>
      </c>
    </row>
    <row r="32" customFormat="false" ht="27" hidden="false" customHeight="true" outlineLevel="0" collapsed="false">
      <c r="A32" s="12" t="s">
        <v>347</v>
      </c>
      <c r="B32" s="12"/>
      <c r="C32" s="13" t="s">
        <v>471</v>
      </c>
      <c r="D32" s="12" t="s">
        <v>349</v>
      </c>
      <c r="E32" s="14"/>
      <c r="F32" s="12" t="s">
        <v>472</v>
      </c>
      <c r="G32" s="17" t="s">
        <v>464</v>
      </c>
      <c r="H32" s="17" t="s">
        <v>465</v>
      </c>
      <c r="I32" s="17" t="s">
        <v>466</v>
      </c>
    </row>
    <row r="33" customFormat="false" ht="27" hidden="false" customHeight="true" outlineLevel="0" collapsed="false">
      <c r="A33" s="12" t="s">
        <v>351</v>
      </c>
      <c r="B33" s="12"/>
      <c r="C33" s="13" t="s">
        <v>473</v>
      </c>
      <c r="D33" s="12" t="s">
        <v>349</v>
      </c>
      <c r="E33" s="14"/>
      <c r="F33" s="12" t="s">
        <v>474</v>
      </c>
      <c r="G33" s="17" t="s">
        <v>464</v>
      </c>
      <c r="H33" s="17" t="s">
        <v>465</v>
      </c>
      <c r="I33" s="17" t="s">
        <v>466</v>
      </c>
    </row>
    <row r="34" customFormat="false" ht="27" hidden="false" customHeight="true" outlineLevel="0" collapsed="false">
      <c r="A34" s="12" t="s">
        <v>355</v>
      </c>
      <c r="B34" s="12"/>
      <c r="C34" s="13" t="s">
        <v>475</v>
      </c>
      <c r="D34" s="12" t="s">
        <v>302</v>
      </c>
      <c r="E34" s="14"/>
      <c r="F34" s="12" t="s">
        <v>476</v>
      </c>
      <c r="G34" s="17" t="s">
        <v>464</v>
      </c>
      <c r="H34" s="17" t="s">
        <v>465</v>
      </c>
      <c r="I34" s="17" t="s">
        <v>466</v>
      </c>
    </row>
    <row r="35" customFormat="false" ht="27" hidden="false" customHeight="true" outlineLevel="0" collapsed="false">
      <c r="A35" s="12" t="s">
        <v>358</v>
      </c>
      <c r="B35" s="12"/>
      <c r="C35" s="13" t="s">
        <v>477</v>
      </c>
      <c r="D35" s="12" t="s">
        <v>263</v>
      </c>
      <c r="E35" s="14"/>
      <c r="F35" s="12" t="s">
        <v>478</v>
      </c>
      <c r="G35" s="17" t="s">
        <v>464</v>
      </c>
      <c r="H35" s="17" t="s">
        <v>465</v>
      </c>
      <c r="I35" s="17" t="s">
        <v>466</v>
      </c>
    </row>
    <row r="36" customFormat="false" ht="27" hidden="false" customHeight="true" outlineLevel="0" collapsed="false">
      <c r="A36" s="12" t="s">
        <v>479</v>
      </c>
      <c r="B36" s="12"/>
      <c r="C36" s="13" t="s">
        <v>480</v>
      </c>
      <c r="D36" s="12" t="s">
        <v>263</v>
      </c>
      <c r="E36" s="14"/>
      <c r="F36" s="12" t="s">
        <v>481</v>
      </c>
      <c r="G36" s="17" t="s">
        <v>464</v>
      </c>
      <c r="H36" s="17" t="s">
        <v>465</v>
      </c>
      <c r="I36" s="17" t="s">
        <v>466</v>
      </c>
    </row>
    <row r="37" customFormat="false" ht="27" hidden="false" customHeight="true" outlineLevel="0" collapsed="false">
      <c r="A37" s="12" t="s">
        <v>482</v>
      </c>
      <c r="B37" s="12"/>
      <c r="C37" s="13" t="s">
        <v>483</v>
      </c>
      <c r="D37" s="12" t="s">
        <v>263</v>
      </c>
      <c r="E37" s="14"/>
      <c r="F37" s="12" t="s">
        <v>484</v>
      </c>
      <c r="G37" s="17" t="s">
        <v>464</v>
      </c>
      <c r="H37" s="17" t="s">
        <v>465</v>
      </c>
      <c r="I37" s="17" t="s">
        <v>466</v>
      </c>
    </row>
    <row r="38" customFormat="false" ht="27" hidden="false" customHeight="true" outlineLevel="0" collapsed="false">
      <c r="A38" s="12" t="s">
        <v>485</v>
      </c>
      <c r="B38" s="12"/>
      <c r="C38" s="13" t="s">
        <v>486</v>
      </c>
      <c r="D38" s="12" t="s">
        <v>263</v>
      </c>
      <c r="E38" s="14"/>
      <c r="F38" s="12" t="s">
        <v>487</v>
      </c>
      <c r="G38" s="17" t="s">
        <v>464</v>
      </c>
      <c r="H38" s="17" t="s">
        <v>465</v>
      </c>
      <c r="I38" s="17" t="s">
        <v>466</v>
      </c>
    </row>
    <row r="40" customFormat="false" ht="14.2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</row>
    <row r="41" customFormat="false" ht="41.25" hidden="false" customHeight="true" outlineLevel="0" collapsed="false">
      <c r="A41" s="12" t="s">
        <v>361</v>
      </c>
      <c r="B41" s="12"/>
      <c r="C41" s="13" t="s">
        <v>488</v>
      </c>
      <c r="D41" s="12" t="s">
        <v>263</v>
      </c>
      <c r="E41" s="14"/>
      <c r="F41" s="12" t="s">
        <v>489</v>
      </c>
      <c r="G41" s="17" t="s">
        <v>490</v>
      </c>
      <c r="H41" s="17" t="s">
        <v>491</v>
      </c>
      <c r="I41" s="17" t="s">
        <v>492</v>
      </c>
    </row>
    <row r="42" customFormat="false" ht="41.25" hidden="false" customHeight="true" outlineLevel="0" collapsed="false">
      <c r="A42" s="12" t="s">
        <v>368</v>
      </c>
      <c r="B42" s="12"/>
      <c r="C42" s="13" t="s">
        <v>493</v>
      </c>
      <c r="D42" s="12" t="s">
        <v>263</v>
      </c>
      <c r="E42" s="14"/>
      <c r="F42" s="12" t="s">
        <v>494</v>
      </c>
      <c r="G42" s="17" t="s">
        <v>490</v>
      </c>
      <c r="H42" s="17" t="s">
        <v>491</v>
      </c>
      <c r="I42" s="17" t="s">
        <v>492</v>
      </c>
    </row>
    <row r="43" customFormat="false" ht="41.25" hidden="false" customHeight="true" outlineLevel="0" collapsed="false">
      <c r="A43" s="12" t="s">
        <v>371</v>
      </c>
      <c r="B43" s="12"/>
      <c r="C43" s="13" t="s">
        <v>495</v>
      </c>
      <c r="D43" s="12" t="s">
        <v>263</v>
      </c>
      <c r="E43" s="14"/>
      <c r="F43" s="12" t="s">
        <v>496</v>
      </c>
      <c r="G43" s="17" t="s">
        <v>490</v>
      </c>
      <c r="H43" s="17" t="s">
        <v>491</v>
      </c>
      <c r="I43" s="17" t="s">
        <v>492</v>
      </c>
    </row>
    <row r="44" customFormat="false" ht="41.25" hidden="false" customHeight="true" outlineLevel="0" collapsed="false">
      <c r="A44" s="12" t="s">
        <v>375</v>
      </c>
      <c r="B44" s="12"/>
      <c r="C44" s="13" t="s">
        <v>497</v>
      </c>
      <c r="D44" s="12" t="s">
        <v>373</v>
      </c>
      <c r="E44" s="14"/>
      <c r="F44" s="12" t="s">
        <v>498</v>
      </c>
      <c r="G44" s="17" t="s">
        <v>490</v>
      </c>
      <c r="H44" s="17" t="s">
        <v>491</v>
      </c>
      <c r="I44" s="17" t="s">
        <v>492</v>
      </c>
    </row>
    <row r="45" customFormat="false" ht="41.25" hidden="false" customHeight="true" outlineLevel="0" collapsed="false">
      <c r="A45" s="12" t="s">
        <v>378</v>
      </c>
      <c r="B45" s="12"/>
      <c r="C45" s="13" t="s">
        <v>499</v>
      </c>
      <c r="D45" s="12" t="s">
        <v>263</v>
      </c>
      <c r="E45" s="14"/>
      <c r="F45" s="12" t="s">
        <v>500</v>
      </c>
      <c r="G45" s="17" t="s">
        <v>490</v>
      </c>
      <c r="H45" s="17" t="s">
        <v>491</v>
      </c>
      <c r="I45" s="17" t="s">
        <v>492</v>
      </c>
    </row>
    <row r="46" customFormat="false" ht="41.25" hidden="false" customHeight="true" outlineLevel="0" collapsed="false">
      <c r="A46" s="12" t="s">
        <v>382</v>
      </c>
      <c r="B46" s="12"/>
      <c r="C46" s="13" t="s">
        <v>501</v>
      </c>
      <c r="D46" s="12" t="s">
        <v>263</v>
      </c>
      <c r="E46" s="14"/>
      <c r="F46" s="12" t="s">
        <v>502</v>
      </c>
      <c r="G46" s="17" t="s">
        <v>490</v>
      </c>
      <c r="H46" s="17" t="s">
        <v>491</v>
      </c>
      <c r="I46" s="17" t="s">
        <v>492</v>
      </c>
    </row>
    <row r="47" customFormat="false" ht="41.25" hidden="false" customHeight="true" outlineLevel="0" collapsed="false">
      <c r="A47" s="12" t="s">
        <v>385</v>
      </c>
      <c r="B47" s="12"/>
      <c r="C47" s="13" t="s">
        <v>503</v>
      </c>
      <c r="D47" s="12" t="s">
        <v>373</v>
      </c>
      <c r="E47" s="14"/>
      <c r="F47" s="12" t="s">
        <v>504</v>
      </c>
      <c r="G47" s="17" t="s">
        <v>490</v>
      </c>
      <c r="H47" s="17" t="s">
        <v>491</v>
      </c>
      <c r="I47" s="17" t="s">
        <v>492</v>
      </c>
    </row>
    <row r="48" customFormat="false" ht="41.25" hidden="false" customHeight="true" outlineLevel="0" collapsed="false">
      <c r="A48" s="12" t="s">
        <v>388</v>
      </c>
      <c r="B48" s="12"/>
      <c r="C48" s="13" t="s">
        <v>505</v>
      </c>
      <c r="D48" s="12" t="s">
        <v>373</v>
      </c>
      <c r="E48" s="14"/>
      <c r="F48" s="12" t="s">
        <v>506</v>
      </c>
      <c r="G48" s="17" t="s">
        <v>490</v>
      </c>
      <c r="H48" s="17" t="s">
        <v>491</v>
      </c>
      <c r="I48" s="17" t="s">
        <v>492</v>
      </c>
    </row>
    <row r="49" customFormat="false" ht="41.25" hidden="false" customHeight="true" outlineLevel="0" collapsed="false">
      <c r="A49" s="12" t="s">
        <v>391</v>
      </c>
      <c r="B49" s="12"/>
      <c r="C49" s="13" t="s">
        <v>507</v>
      </c>
      <c r="D49" s="12" t="s">
        <v>373</v>
      </c>
      <c r="E49" s="14"/>
      <c r="F49" s="12" t="s">
        <v>508</v>
      </c>
      <c r="G49" s="17" t="s">
        <v>490</v>
      </c>
      <c r="H49" s="17" t="s">
        <v>491</v>
      </c>
      <c r="I49" s="17" t="s">
        <v>492</v>
      </c>
    </row>
    <row r="50" customFormat="false" ht="41.25" hidden="false" customHeight="true" outlineLevel="0" collapsed="false">
      <c r="A50" s="12" t="s">
        <v>394</v>
      </c>
      <c r="B50" s="12"/>
      <c r="C50" s="13" t="s">
        <v>395</v>
      </c>
      <c r="D50" s="12" t="s">
        <v>373</v>
      </c>
      <c r="E50" s="14"/>
      <c r="F50" s="12" t="s">
        <v>509</v>
      </c>
      <c r="G50" s="17" t="s">
        <v>490</v>
      </c>
      <c r="H50" s="17" t="s">
        <v>491</v>
      </c>
      <c r="I50" s="17" t="s">
        <v>492</v>
      </c>
    </row>
    <row r="52" customFormat="false" ht="14.25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</row>
    <row r="53" customFormat="false" ht="27" hidden="false" customHeight="true" outlineLevel="0" collapsed="false">
      <c r="A53" s="12" t="s">
        <v>397</v>
      </c>
      <c r="B53" s="12"/>
      <c r="C53" s="13" t="s">
        <v>510</v>
      </c>
      <c r="D53" s="12" t="s">
        <v>353</v>
      </c>
      <c r="E53" s="14"/>
      <c r="F53" s="12" t="s">
        <v>511</v>
      </c>
      <c r="G53" s="17" t="s">
        <v>512</v>
      </c>
      <c r="H53" s="17" t="s">
        <v>513</v>
      </c>
      <c r="I53" s="17" t="s">
        <v>514</v>
      </c>
    </row>
    <row r="54" customFormat="false" ht="27" hidden="false" customHeight="true" outlineLevel="0" collapsed="false">
      <c r="A54" s="12" t="s">
        <v>404</v>
      </c>
      <c r="B54" s="12"/>
      <c r="C54" s="13" t="s">
        <v>515</v>
      </c>
      <c r="D54" s="12" t="s">
        <v>516</v>
      </c>
      <c r="E54" s="14"/>
      <c r="F54" s="12" t="s">
        <v>517</v>
      </c>
      <c r="G54" s="17" t="s">
        <v>512</v>
      </c>
      <c r="H54" s="17" t="s">
        <v>513</v>
      </c>
      <c r="I54" s="17" t="s">
        <v>514</v>
      </c>
    </row>
    <row r="55" customFormat="false" ht="27" hidden="false" customHeight="true" outlineLevel="0" collapsed="false">
      <c r="A55" s="12" t="s">
        <v>407</v>
      </c>
      <c r="B55" s="12"/>
      <c r="C55" s="13" t="s">
        <v>518</v>
      </c>
      <c r="D55" s="12" t="s">
        <v>373</v>
      </c>
      <c r="E55" s="14"/>
      <c r="F55" s="12" t="s">
        <v>519</v>
      </c>
      <c r="G55" s="17" t="s">
        <v>512</v>
      </c>
      <c r="H55" s="17" t="s">
        <v>513</v>
      </c>
      <c r="I55" s="17" t="s">
        <v>514</v>
      </c>
    </row>
    <row r="56" customFormat="false" ht="27" hidden="false" customHeight="true" outlineLevel="0" collapsed="false">
      <c r="A56" s="12" t="s">
        <v>411</v>
      </c>
      <c r="B56" s="12"/>
      <c r="C56" s="13" t="s">
        <v>520</v>
      </c>
      <c r="D56" s="12" t="s">
        <v>521</v>
      </c>
      <c r="E56" s="14"/>
      <c r="F56" s="12" t="s">
        <v>522</v>
      </c>
      <c r="G56" s="17" t="s">
        <v>512</v>
      </c>
      <c r="H56" s="17" t="s">
        <v>513</v>
      </c>
      <c r="I56" s="17" t="s">
        <v>514</v>
      </c>
    </row>
  </sheetData>
  <mergeCells count="7">
    <mergeCell ref="A1:I1"/>
    <mergeCell ref="A2:I2"/>
    <mergeCell ref="A5:I5"/>
    <mergeCell ref="A16:I16"/>
    <mergeCell ref="A28:I28"/>
    <mergeCell ref="A40:I40"/>
    <mergeCell ref="A52:I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24.56"/>
    <col collapsed="false" customWidth="true" hidden="false" outlineLevel="0" max="7" min="7" style="1" width="45"/>
    <col collapsed="false" customWidth="true" hidden="false" outlineLevel="0" max="8" min="8" style="1" width="40"/>
    <col collapsed="false" customWidth="true" hidden="false" outlineLevel="0" max="9" min="9" style="1" width="35"/>
  </cols>
  <sheetData>
    <row r="1" customFormat="false" ht="18" hidden="false" customHeight="true" outlineLevel="0" collapsed="false">
      <c r="A1" s="8" t="s">
        <v>523</v>
      </c>
      <c r="B1" s="8"/>
      <c r="C1" s="8"/>
      <c r="D1" s="8"/>
      <c r="E1" s="8"/>
      <c r="F1" s="8"/>
      <c r="G1" s="8"/>
      <c r="H1" s="8"/>
      <c r="I1" s="8"/>
    </row>
    <row r="2" customFormat="false" ht="14.25" hidden="false" customHeight="true" outlineLevel="0" collapsed="false">
      <c r="A2" s="15" t="s">
        <v>524</v>
      </c>
      <c r="B2" s="15"/>
      <c r="C2" s="15"/>
      <c r="D2" s="15"/>
      <c r="E2" s="15"/>
      <c r="F2" s="15"/>
      <c r="G2" s="15"/>
      <c r="H2" s="15"/>
      <c r="I2" s="15"/>
    </row>
    <row r="4" customFormat="false" ht="28.5" hidden="false" customHeight="true" outlineLevel="0" collapsed="false">
      <c r="A4" s="10" t="s">
        <v>58</v>
      </c>
      <c r="B4" s="10" t="s">
        <v>59</v>
      </c>
      <c r="C4" s="10" t="s">
        <v>254</v>
      </c>
      <c r="D4" s="10" t="s">
        <v>255</v>
      </c>
      <c r="E4" s="10" t="s">
        <v>256</v>
      </c>
      <c r="F4" s="10" t="s">
        <v>257</v>
      </c>
      <c r="G4" s="16" t="s">
        <v>258</v>
      </c>
      <c r="H4" s="16" t="s">
        <v>259</v>
      </c>
      <c r="I4" s="16" t="s">
        <v>260</v>
      </c>
    </row>
    <row r="5" customFormat="false" ht="14.2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82.5" hidden="false" customHeight="true" outlineLevel="0" collapsed="false">
      <c r="A6" s="12" t="s">
        <v>261</v>
      </c>
      <c r="B6" s="12"/>
      <c r="C6" s="13" t="s">
        <v>525</v>
      </c>
      <c r="D6" s="12" t="s">
        <v>263</v>
      </c>
      <c r="E6" s="14"/>
      <c r="F6" s="12" t="s">
        <v>526</v>
      </c>
      <c r="G6" s="17" t="s">
        <v>527</v>
      </c>
      <c r="H6" s="17" t="s">
        <v>528</v>
      </c>
      <c r="I6" s="17" t="s">
        <v>529</v>
      </c>
    </row>
    <row r="7" customFormat="false" ht="82.5" hidden="false" customHeight="true" outlineLevel="0" collapsed="false">
      <c r="A7" s="12" t="s">
        <v>268</v>
      </c>
      <c r="B7" s="12"/>
      <c r="C7" s="13" t="s">
        <v>530</v>
      </c>
      <c r="D7" s="12" t="s">
        <v>263</v>
      </c>
      <c r="E7" s="14"/>
      <c r="F7" s="12" t="s">
        <v>531</v>
      </c>
      <c r="G7" s="17" t="s">
        <v>527</v>
      </c>
      <c r="H7" s="17" t="s">
        <v>528</v>
      </c>
      <c r="I7" s="17" t="s">
        <v>529</v>
      </c>
    </row>
    <row r="8" customFormat="false" ht="82.5" hidden="false" customHeight="true" outlineLevel="0" collapsed="false">
      <c r="A8" s="12" t="s">
        <v>271</v>
      </c>
      <c r="B8" s="12"/>
      <c r="C8" s="13" t="s">
        <v>532</v>
      </c>
      <c r="D8" s="12" t="s">
        <v>263</v>
      </c>
      <c r="E8" s="14"/>
      <c r="F8" s="12" t="s">
        <v>533</v>
      </c>
      <c r="G8" s="17" t="s">
        <v>527</v>
      </c>
      <c r="H8" s="17" t="s">
        <v>528</v>
      </c>
      <c r="I8" s="17" t="s">
        <v>529</v>
      </c>
    </row>
    <row r="9" customFormat="false" ht="82.5" hidden="false" customHeight="true" outlineLevel="0" collapsed="false">
      <c r="A9" s="12" t="s">
        <v>275</v>
      </c>
      <c r="B9" s="12"/>
      <c r="C9" s="13" t="s">
        <v>534</v>
      </c>
      <c r="D9" s="12" t="s">
        <v>263</v>
      </c>
      <c r="E9" s="14"/>
      <c r="F9" s="12" t="s">
        <v>535</v>
      </c>
      <c r="G9" s="17" t="s">
        <v>527</v>
      </c>
      <c r="H9" s="17" t="s">
        <v>528</v>
      </c>
      <c r="I9" s="17" t="s">
        <v>529</v>
      </c>
    </row>
    <row r="10" customFormat="false" ht="82.5" hidden="false" customHeight="true" outlineLevel="0" collapsed="false">
      <c r="A10" s="12" t="s">
        <v>278</v>
      </c>
      <c r="B10" s="12"/>
      <c r="C10" s="13" t="s">
        <v>536</v>
      </c>
      <c r="D10" s="12" t="s">
        <v>263</v>
      </c>
      <c r="E10" s="14"/>
      <c r="F10" s="12" t="s">
        <v>537</v>
      </c>
      <c r="G10" s="17" t="s">
        <v>527</v>
      </c>
      <c r="H10" s="17" t="s">
        <v>528</v>
      </c>
      <c r="I10" s="17" t="s">
        <v>529</v>
      </c>
    </row>
    <row r="11" customFormat="false" ht="82.5" hidden="false" customHeight="true" outlineLevel="0" collapsed="false">
      <c r="A11" s="12" t="s">
        <v>281</v>
      </c>
      <c r="B11" s="12"/>
      <c r="C11" s="13" t="s">
        <v>538</v>
      </c>
      <c r="D11" s="12" t="s">
        <v>539</v>
      </c>
      <c r="E11" s="14"/>
      <c r="F11" s="12" t="s">
        <v>540</v>
      </c>
      <c r="G11" s="17" t="s">
        <v>527</v>
      </c>
      <c r="H11" s="17" t="s">
        <v>528</v>
      </c>
      <c r="I11" s="17" t="s">
        <v>529</v>
      </c>
    </row>
    <row r="13" customFormat="false" ht="14.2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27" hidden="false" customHeight="true" outlineLevel="0" collapsed="false">
      <c r="A14" s="12" t="s">
        <v>300</v>
      </c>
      <c r="B14" s="12"/>
      <c r="C14" s="13" t="s">
        <v>541</v>
      </c>
      <c r="D14" s="12" t="s">
        <v>263</v>
      </c>
      <c r="E14" s="14"/>
      <c r="F14" s="12" t="s">
        <v>542</v>
      </c>
      <c r="G14" s="17" t="s">
        <v>543</v>
      </c>
      <c r="H14" s="17" t="s">
        <v>544</v>
      </c>
      <c r="I14" s="17" t="s">
        <v>545</v>
      </c>
    </row>
    <row r="15" customFormat="false" ht="27" hidden="false" customHeight="true" outlineLevel="0" collapsed="false">
      <c r="A15" s="12" t="s">
        <v>307</v>
      </c>
      <c r="B15" s="12"/>
      <c r="C15" s="13" t="s">
        <v>546</v>
      </c>
      <c r="D15" s="12" t="s">
        <v>263</v>
      </c>
      <c r="E15" s="14"/>
      <c r="F15" s="12" t="s">
        <v>547</v>
      </c>
      <c r="G15" s="17" t="s">
        <v>543</v>
      </c>
      <c r="H15" s="17" t="s">
        <v>544</v>
      </c>
      <c r="I15" s="17" t="s">
        <v>545</v>
      </c>
    </row>
    <row r="16" customFormat="false" ht="27" hidden="false" customHeight="true" outlineLevel="0" collapsed="false">
      <c r="A16" s="12" t="s">
        <v>310</v>
      </c>
      <c r="B16" s="12"/>
      <c r="C16" s="13" t="s">
        <v>548</v>
      </c>
      <c r="D16" s="12" t="s">
        <v>263</v>
      </c>
      <c r="E16" s="14"/>
      <c r="F16" s="12" t="s">
        <v>549</v>
      </c>
      <c r="G16" s="17" t="s">
        <v>543</v>
      </c>
      <c r="H16" s="17" t="s">
        <v>544</v>
      </c>
      <c r="I16" s="17" t="s">
        <v>545</v>
      </c>
    </row>
    <row r="17" customFormat="false" ht="27" hidden="false" customHeight="true" outlineLevel="0" collapsed="false">
      <c r="A17" s="12" t="s">
        <v>313</v>
      </c>
      <c r="B17" s="12"/>
      <c r="C17" s="13" t="s">
        <v>550</v>
      </c>
      <c r="D17" s="12" t="s">
        <v>263</v>
      </c>
      <c r="E17" s="14"/>
      <c r="F17" s="12" t="s">
        <v>551</v>
      </c>
      <c r="G17" s="17" t="s">
        <v>543</v>
      </c>
      <c r="H17" s="17" t="s">
        <v>544</v>
      </c>
      <c r="I17" s="17" t="s">
        <v>545</v>
      </c>
    </row>
    <row r="18" customFormat="false" ht="27" hidden="false" customHeight="true" outlineLevel="0" collapsed="false">
      <c r="A18" s="12" t="s">
        <v>316</v>
      </c>
      <c r="B18" s="12"/>
      <c r="C18" s="13" t="s">
        <v>552</v>
      </c>
      <c r="D18" s="12" t="s">
        <v>263</v>
      </c>
      <c r="E18" s="14"/>
      <c r="F18" s="12" t="s">
        <v>553</v>
      </c>
      <c r="G18" s="17" t="s">
        <v>543</v>
      </c>
      <c r="H18" s="17" t="s">
        <v>544</v>
      </c>
      <c r="I18" s="17" t="s">
        <v>545</v>
      </c>
    </row>
    <row r="19" customFormat="false" ht="27" hidden="false" customHeight="true" outlineLevel="0" collapsed="false">
      <c r="A19" s="12" t="s">
        <v>319</v>
      </c>
      <c r="B19" s="12"/>
      <c r="C19" s="13" t="s">
        <v>554</v>
      </c>
      <c r="D19" s="12" t="s">
        <v>263</v>
      </c>
      <c r="E19" s="14"/>
      <c r="F19" s="12" t="s">
        <v>555</v>
      </c>
      <c r="G19" s="17" t="s">
        <v>543</v>
      </c>
      <c r="H19" s="17" t="s">
        <v>544</v>
      </c>
      <c r="I19" s="17" t="s">
        <v>545</v>
      </c>
    </row>
    <row r="20" customFormat="false" ht="27" hidden="false" customHeight="true" outlineLevel="0" collapsed="false">
      <c r="A20" s="12" t="s">
        <v>322</v>
      </c>
      <c r="B20" s="12"/>
      <c r="C20" s="13" t="s">
        <v>556</v>
      </c>
      <c r="D20" s="12" t="s">
        <v>263</v>
      </c>
      <c r="E20" s="14"/>
      <c r="F20" s="12" t="s">
        <v>557</v>
      </c>
      <c r="G20" s="17" t="s">
        <v>543</v>
      </c>
      <c r="H20" s="17" t="s">
        <v>544</v>
      </c>
      <c r="I20" s="17" t="s">
        <v>545</v>
      </c>
    </row>
    <row r="21" customFormat="false" ht="27" hidden="false" customHeight="true" outlineLevel="0" collapsed="false">
      <c r="A21" s="12" t="s">
        <v>325</v>
      </c>
      <c r="B21" s="12"/>
      <c r="C21" s="13" t="s">
        <v>558</v>
      </c>
      <c r="D21" s="12" t="s">
        <v>263</v>
      </c>
      <c r="E21" s="14"/>
      <c r="F21" s="12" t="s">
        <v>559</v>
      </c>
      <c r="G21" s="17" t="s">
        <v>543</v>
      </c>
      <c r="H21" s="17" t="s">
        <v>544</v>
      </c>
      <c r="I21" s="17" t="s">
        <v>545</v>
      </c>
    </row>
    <row r="22" customFormat="false" ht="27" hidden="false" customHeight="true" outlineLevel="0" collapsed="false">
      <c r="A22" s="12" t="s">
        <v>328</v>
      </c>
      <c r="B22" s="12"/>
      <c r="C22" s="13" t="s">
        <v>560</v>
      </c>
      <c r="D22" s="12" t="s">
        <v>561</v>
      </c>
      <c r="E22" s="14"/>
      <c r="F22" s="12" t="s">
        <v>562</v>
      </c>
      <c r="G22" s="17" t="s">
        <v>543</v>
      </c>
      <c r="H22" s="17" t="s">
        <v>544</v>
      </c>
      <c r="I22" s="17" t="s">
        <v>545</v>
      </c>
    </row>
    <row r="24" customFormat="false" ht="14.2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</row>
    <row r="25" customFormat="false" ht="54.75" hidden="false" customHeight="true" outlineLevel="0" collapsed="false">
      <c r="A25" s="12" t="s">
        <v>335</v>
      </c>
      <c r="B25" s="12"/>
      <c r="C25" s="13" t="s">
        <v>563</v>
      </c>
      <c r="D25" s="12" t="s">
        <v>263</v>
      </c>
      <c r="E25" s="14"/>
      <c r="F25" s="12" t="s">
        <v>564</v>
      </c>
      <c r="G25" s="17" t="s">
        <v>565</v>
      </c>
      <c r="H25" s="17" t="s">
        <v>566</v>
      </c>
      <c r="I25" s="17" t="s">
        <v>567</v>
      </c>
    </row>
    <row r="26" customFormat="false" ht="54.75" hidden="false" customHeight="true" outlineLevel="0" collapsed="false">
      <c r="A26" s="12" t="s">
        <v>341</v>
      </c>
      <c r="B26" s="12"/>
      <c r="C26" s="13" t="s">
        <v>568</v>
      </c>
      <c r="D26" s="12" t="s">
        <v>263</v>
      </c>
      <c r="E26" s="14"/>
      <c r="F26" s="12" t="s">
        <v>569</v>
      </c>
      <c r="G26" s="17" t="s">
        <v>565</v>
      </c>
      <c r="H26" s="17" t="s">
        <v>566</v>
      </c>
      <c r="I26" s="17" t="s">
        <v>567</v>
      </c>
    </row>
    <row r="27" customFormat="false" ht="54.75" hidden="false" customHeight="true" outlineLevel="0" collapsed="false">
      <c r="A27" s="12" t="s">
        <v>344</v>
      </c>
      <c r="B27" s="12"/>
      <c r="C27" s="13" t="s">
        <v>570</v>
      </c>
      <c r="D27" s="12" t="s">
        <v>263</v>
      </c>
      <c r="E27" s="14"/>
      <c r="F27" s="12" t="s">
        <v>571</v>
      </c>
      <c r="G27" s="17" t="s">
        <v>565</v>
      </c>
      <c r="H27" s="17" t="s">
        <v>566</v>
      </c>
      <c r="I27" s="17" t="s">
        <v>567</v>
      </c>
    </row>
    <row r="28" customFormat="false" ht="54.75" hidden="false" customHeight="true" outlineLevel="0" collapsed="false">
      <c r="A28" s="12" t="s">
        <v>347</v>
      </c>
      <c r="B28" s="12"/>
      <c r="C28" s="13" t="s">
        <v>572</v>
      </c>
      <c r="D28" s="12" t="s">
        <v>263</v>
      </c>
      <c r="E28" s="14"/>
      <c r="F28" s="12" t="s">
        <v>573</v>
      </c>
      <c r="G28" s="17" t="s">
        <v>565</v>
      </c>
      <c r="H28" s="17" t="s">
        <v>566</v>
      </c>
      <c r="I28" s="17" t="s">
        <v>567</v>
      </c>
    </row>
    <row r="29" customFormat="false" ht="54.75" hidden="false" customHeight="true" outlineLevel="0" collapsed="false">
      <c r="A29" s="12" t="s">
        <v>351</v>
      </c>
      <c r="B29" s="12"/>
      <c r="C29" s="13" t="s">
        <v>574</v>
      </c>
      <c r="D29" s="12" t="s">
        <v>373</v>
      </c>
      <c r="E29" s="14"/>
      <c r="F29" s="12" t="s">
        <v>575</v>
      </c>
      <c r="G29" s="17" t="s">
        <v>565</v>
      </c>
      <c r="H29" s="17" t="s">
        <v>566</v>
      </c>
      <c r="I29" s="17" t="s">
        <v>567</v>
      </c>
    </row>
    <row r="30" customFormat="false" ht="27" hidden="false" customHeight="true" outlineLevel="0" collapsed="false">
      <c r="A30" s="12" t="s">
        <v>355</v>
      </c>
      <c r="B30" s="12"/>
      <c r="C30" s="13" t="s">
        <v>576</v>
      </c>
      <c r="D30" s="12" t="s">
        <v>373</v>
      </c>
      <c r="E30" s="14"/>
      <c r="F30" s="12" t="s">
        <v>577</v>
      </c>
      <c r="G30" s="17" t="s">
        <v>565</v>
      </c>
      <c r="H30" s="17" t="s">
        <v>566</v>
      </c>
      <c r="I30" s="17" t="s">
        <v>567</v>
      </c>
    </row>
    <row r="31" customFormat="false" ht="54.75" hidden="false" customHeight="true" outlineLevel="0" collapsed="false">
      <c r="A31" s="12" t="s">
        <v>358</v>
      </c>
      <c r="B31" s="12"/>
      <c r="C31" s="13" t="s">
        <v>578</v>
      </c>
      <c r="D31" s="12" t="s">
        <v>373</v>
      </c>
      <c r="E31" s="14"/>
      <c r="F31" s="12" t="s">
        <v>579</v>
      </c>
      <c r="G31" s="17" t="s">
        <v>565</v>
      </c>
      <c r="H31" s="17" t="s">
        <v>566</v>
      </c>
      <c r="I31" s="17" t="s">
        <v>567</v>
      </c>
    </row>
    <row r="32" customFormat="false" ht="54.75" hidden="false" customHeight="true" outlineLevel="0" collapsed="false">
      <c r="A32" s="12" t="s">
        <v>479</v>
      </c>
      <c r="B32" s="12"/>
      <c r="C32" s="13" t="s">
        <v>580</v>
      </c>
      <c r="D32" s="12" t="s">
        <v>373</v>
      </c>
      <c r="E32" s="14"/>
      <c r="F32" s="12" t="s">
        <v>581</v>
      </c>
      <c r="G32" s="17" t="s">
        <v>565</v>
      </c>
      <c r="H32" s="17" t="s">
        <v>566</v>
      </c>
      <c r="I32" s="17" t="s">
        <v>567</v>
      </c>
    </row>
    <row r="34" customFormat="false" ht="14.2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</row>
    <row r="35" customFormat="false" ht="41.25" hidden="false" customHeight="true" outlineLevel="0" collapsed="false">
      <c r="A35" s="12" t="s">
        <v>361</v>
      </c>
      <c r="B35" s="12"/>
      <c r="C35" s="13" t="s">
        <v>582</v>
      </c>
      <c r="D35" s="12" t="s">
        <v>302</v>
      </c>
      <c r="E35" s="14"/>
      <c r="F35" s="12" t="s">
        <v>583</v>
      </c>
      <c r="G35" s="17" t="s">
        <v>584</v>
      </c>
      <c r="H35" s="17" t="s">
        <v>585</v>
      </c>
      <c r="I35" s="17" t="s">
        <v>586</v>
      </c>
    </row>
    <row r="36" customFormat="false" ht="41.25" hidden="false" customHeight="true" outlineLevel="0" collapsed="false">
      <c r="A36" s="12" t="s">
        <v>368</v>
      </c>
      <c r="B36" s="12"/>
      <c r="C36" s="13" t="s">
        <v>587</v>
      </c>
      <c r="D36" s="12" t="s">
        <v>302</v>
      </c>
      <c r="E36" s="14"/>
      <c r="F36" s="12" t="s">
        <v>588</v>
      </c>
      <c r="G36" s="17" t="s">
        <v>584</v>
      </c>
      <c r="H36" s="17" t="s">
        <v>585</v>
      </c>
      <c r="I36" s="17" t="s">
        <v>586</v>
      </c>
    </row>
    <row r="37" customFormat="false" ht="41.25" hidden="false" customHeight="true" outlineLevel="0" collapsed="false">
      <c r="A37" s="12" t="s">
        <v>371</v>
      </c>
      <c r="B37" s="12"/>
      <c r="C37" s="13" t="s">
        <v>589</v>
      </c>
      <c r="D37" s="12" t="s">
        <v>302</v>
      </c>
      <c r="E37" s="14"/>
      <c r="F37" s="12" t="s">
        <v>590</v>
      </c>
      <c r="G37" s="17" t="s">
        <v>584</v>
      </c>
      <c r="H37" s="17" t="s">
        <v>585</v>
      </c>
      <c r="I37" s="17" t="s">
        <v>586</v>
      </c>
    </row>
    <row r="38" customFormat="false" ht="41.25" hidden="false" customHeight="true" outlineLevel="0" collapsed="false">
      <c r="A38" s="12" t="s">
        <v>375</v>
      </c>
      <c r="B38" s="12"/>
      <c r="C38" s="13" t="s">
        <v>591</v>
      </c>
      <c r="D38" s="12" t="s">
        <v>263</v>
      </c>
      <c r="E38" s="14"/>
      <c r="F38" s="12" t="s">
        <v>592</v>
      </c>
      <c r="G38" s="17" t="s">
        <v>584</v>
      </c>
      <c r="H38" s="17" t="s">
        <v>585</v>
      </c>
      <c r="I38" s="17" t="s">
        <v>586</v>
      </c>
    </row>
    <row r="39" customFormat="false" ht="41.25" hidden="false" customHeight="true" outlineLevel="0" collapsed="false">
      <c r="A39" s="12" t="s">
        <v>378</v>
      </c>
      <c r="B39" s="12"/>
      <c r="C39" s="13" t="s">
        <v>593</v>
      </c>
      <c r="D39" s="12" t="s">
        <v>302</v>
      </c>
      <c r="E39" s="14"/>
      <c r="F39" s="12" t="s">
        <v>594</v>
      </c>
      <c r="G39" s="17" t="s">
        <v>584</v>
      </c>
      <c r="H39" s="17" t="s">
        <v>585</v>
      </c>
      <c r="I39" s="17" t="s">
        <v>586</v>
      </c>
    </row>
    <row r="40" customFormat="false" ht="41.25" hidden="false" customHeight="true" outlineLevel="0" collapsed="false">
      <c r="A40" s="12" t="s">
        <v>382</v>
      </c>
      <c r="B40" s="12"/>
      <c r="C40" s="13" t="s">
        <v>595</v>
      </c>
      <c r="D40" s="12" t="s">
        <v>263</v>
      </c>
      <c r="E40" s="14"/>
      <c r="F40" s="12" t="s">
        <v>327</v>
      </c>
      <c r="G40" s="17" t="s">
        <v>584</v>
      </c>
      <c r="H40" s="17" t="s">
        <v>585</v>
      </c>
      <c r="I40" s="17" t="s">
        <v>586</v>
      </c>
    </row>
    <row r="42" customFormat="false" ht="14.2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</row>
    <row r="43" customFormat="false" ht="41.25" hidden="false" customHeight="true" outlineLevel="0" collapsed="false">
      <c r="A43" s="12" t="s">
        <v>397</v>
      </c>
      <c r="B43" s="12"/>
      <c r="C43" s="13" t="s">
        <v>596</v>
      </c>
      <c r="D43" s="12" t="s">
        <v>597</v>
      </c>
      <c r="E43" s="14"/>
      <c r="F43" s="12" t="s">
        <v>598</v>
      </c>
      <c r="G43" s="17" t="s">
        <v>599</v>
      </c>
      <c r="H43" s="17" t="s">
        <v>600</v>
      </c>
      <c r="I43" s="17" t="s">
        <v>601</v>
      </c>
    </row>
    <row r="44" customFormat="false" ht="41.25" hidden="false" customHeight="true" outlineLevel="0" collapsed="false">
      <c r="A44" s="12" t="s">
        <v>404</v>
      </c>
      <c r="B44" s="12"/>
      <c r="C44" s="13" t="s">
        <v>602</v>
      </c>
      <c r="D44" s="12" t="s">
        <v>263</v>
      </c>
      <c r="E44" s="14"/>
      <c r="F44" s="12" t="s">
        <v>603</v>
      </c>
      <c r="G44" s="17" t="s">
        <v>599</v>
      </c>
      <c r="H44" s="17" t="s">
        <v>600</v>
      </c>
      <c r="I44" s="17" t="s">
        <v>601</v>
      </c>
    </row>
    <row r="45" customFormat="false" ht="41.25" hidden="false" customHeight="true" outlineLevel="0" collapsed="false">
      <c r="A45" s="12" t="s">
        <v>407</v>
      </c>
      <c r="B45" s="12"/>
      <c r="C45" s="13" t="s">
        <v>604</v>
      </c>
      <c r="D45" s="12" t="s">
        <v>263</v>
      </c>
      <c r="E45" s="14"/>
      <c r="F45" s="12" t="s">
        <v>605</v>
      </c>
      <c r="G45" s="17" t="s">
        <v>599</v>
      </c>
      <c r="H45" s="17" t="s">
        <v>600</v>
      </c>
      <c r="I45" s="17" t="s">
        <v>601</v>
      </c>
    </row>
    <row r="46" customFormat="false" ht="41.25" hidden="false" customHeight="true" outlineLevel="0" collapsed="false">
      <c r="A46" s="12" t="s">
        <v>411</v>
      </c>
      <c r="B46" s="12"/>
      <c r="C46" s="13" t="s">
        <v>606</v>
      </c>
      <c r="D46" s="12" t="s">
        <v>263</v>
      </c>
      <c r="E46" s="14"/>
      <c r="F46" s="12" t="s">
        <v>607</v>
      </c>
      <c r="G46" s="17" t="s">
        <v>599</v>
      </c>
      <c r="H46" s="17" t="s">
        <v>600</v>
      </c>
      <c r="I46" s="17" t="s">
        <v>601</v>
      </c>
    </row>
    <row r="47" customFormat="false" ht="41.25" hidden="false" customHeight="true" outlineLevel="0" collapsed="false">
      <c r="A47" s="12" t="s">
        <v>413</v>
      </c>
      <c r="B47" s="12"/>
      <c r="C47" s="13" t="s">
        <v>608</v>
      </c>
      <c r="D47" s="12" t="s">
        <v>373</v>
      </c>
      <c r="E47" s="14"/>
      <c r="F47" s="12" t="s">
        <v>609</v>
      </c>
      <c r="G47" s="17" t="s">
        <v>599</v>
      </c>
      <c r="H47" s="17" t="s">
        <v>600</v>
      </c>
      <c r="I47" s="17" t="s">
        <v>601</v>
      </c>
    </row>
    <row r="48" customFormat="false" ht="41.25" hidden="false" customHeight="true" outlineLevel="0" collapsed="false">
      <c r="A48" s="12" t="s">
        <v>610</v>
      </c>
      <c r="B48" s="12"/>
      <c r="C48" s="13" t="s">
        <v>611</v>
      </c>
      <c r="D48" s="12" t="s">
        <v>612</v>
      </c>
      <c r="E48" s="14"/>
      <c r="F48" s="12" t="s">
        <v>613</v>
      </c>
      <c r="G48" s="17" t="s">
        <v>599</v>
      </c>
      <c r="H48" s="17" t="s">
        <v>600</v>
      </c>
      <c r="I48" s="17" t="s">
        <v>601</v>
      </c>
    </row>
    <row r="49" customFormat="false" ht="41.25" hidden="false" customHeight="true" outlineLevel="0" collapsed="false">
      <c r="A49" s="12" t="s">
        <v>614</v>
      </c>
      <c r="B49" s="12"/>
      <c r="C49" s="13" t="s">
        <v>615</v>
      </c>
      <c r="D49" s="12" t="s">
        <v>616</v>
      </c>
      <c r="E49" s="14"/>
      <c r="F49" s="12" t="s">
        <v>617</v>
      </c>
      <c r="G49" s="17" t="s">
        <v>599</v>
      </c>
      <c r="H49" s="17" t="s">
        <v>600</v>
      </c>
      <c r="I49" s="17" t="s">
        <v>601</v>
      </c>
    </row>
    <row r="50" customFormat="false" ht="41.25" hidden="false" customHeight="true" outlineLevel="0" collapsed="false">
      <c r="A50" s="12" t="s">
        <v>618</v>
      </c>
      <c r="B50" s="12"/>
      <c r="C50" s="13" t="s">
        <v>619</v>
      </c>
      <c r="D50" s="12" t="s">
        <v>620</v>
      </c>
      <c r="E50" s="14"/>
      <c r="F50" s="12" t="s">
        <v>621</v>
      </c>
      <c r="G50" s="17" t="s">
        <v>599</v>
      </c>
      <c r="H50" s="17" t="s">
        <v>600</v>
      </c>
      <c r="I50" s="17" t="s">
        <v>601</v>
      </c>
    </row>
    <row r="51" customFormat="false" ht="41.25" hidden="false" customHeight="true" outlineLevel="0" collapsed="false">
      <c r="A51" s="12" t="s">
        <v>622</v>
      </c>
      <c r="B51" s="12"/>
      <c r="C51" s="13" t="s">
        <v>623</v>
      </c>
      <c r="D51" s="12" t="s">
        <v>539</v>
      </c>
      <c r="E51" s="14"/>
      <c r="F51" s="12" t="s">
        <v>624</v>
      </c>
      <c r="G51" s="17" t="s">
        <v>599</v>
      </c>
      <c r="H51" s="17" t="s">
        <v>600</v>
      </c>
      <c r="I51" s="17" t="s">
        <v>601</v>
      </c>
    </row>
    <row r="52" customFormat="false" ht="41.25" hidden="false" customHeight="true" outlineLevel="0" collapsed="false">
      <c r="A52" s="12" t="s">
        <v>625</v>
      </c>
      <c r="B52" s="12"/>
      <c r="C52" s="13" t="s">
        <v>626</v>
      </c>
      <c r="D52" s="12" t="s">
        <v>373</v>
      </c>
      <c r="E52" s="14"/>
      <c r="F52" s="12" t="s">
        <v>627</v>
      </c>
      <c r="G52" s="17" t="s">
        <v>599</v>
      </c>
      <c r="H52" s="17" t="s">
        <v>600</v>
      </c>
      <c r="I52" s="17" t="s">
        <v>601</v>
      </c>
    </row>
    <row r="54" customFormat="false" ht="14.2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</row>
    <row r="55" customFormat="false" ht="41.25" hidden="false" customHeight="true" outlineLevel="0" collapsed="false">
      <c r="A55" s="12" t="s">
        <v>628</v>
      </c>
      <c r="B55" s="12"/>
      <c r="C55" s="13" t="s">
        <v>629</v>
      </c>
      <c r="D55" s="12"/>
      <c r="E55" s="14"/>
      <c r="F55" s="12"/>
      <c r="G55" s="17" t="s">
        <v>630</v>
      </c>
      <c r="H55" s="17" t="s">
        <v>631</v>
      </c>
      <c r="I55" s="17" t="s">
        <v>632</v>
      </c>
    </row>
    <row r="56" customFormat="false" ht="41.25" hidden="false" customHeight="true" outlineLevel="0" collapsed="false">
      <c r="A56" s="12" t="s">
        <v>633</v>
      </c>
      <c r="B56" s="12"/>
      <c r="C56" s="13" t="s">
        <v>634</v>
      </c>
      <c r="D56" s="12"/>
      <c r="E56" s="14"/>
      <c r="F56" s="12"/>
      <c r="G56" s="17" t="s">
        <v>630</v>
      </c>
      <c r="H56" s="17" t="s">
        <v>631</v>
      </c>
      <c r="I56" s="17" t="s">
        <v>632</v>
      </c>
    </row>
    <row r="57" customFormat="false" ht="41.25" hidden="false" customHeight="true" outlineLevel="0" collapsed="false">
      <c r="A57" s="12" t="s">
        <v>635</v>
      </c>
      <c r="B57" s="12"/>
      <c r="C57" s="13" t="s">
        <v>636</v>
      </c>
      <c r="D57" s="12"/>
      <c r="E57" s="14"/>
      <c r="F57" s="12"/>
      <c r="G57" s="17" t="s">
        <v>630</v>
      </c>
      <c r="H57" s="17" t="s">
        <v>631</v>
      </c>
      <c r="I57" s="17" t="s">
        <v>632</v>
      </c>
    </row>
    <row r="58" customFormat="false" ht="41.25" hidden="false" customHeight="true" outlineLevel="0" collapsed="false">
      <c r="A58" s="12" t="s">
        <v>637</v>
      </c>
      <c r="B58" s="12"/>
      <c r="C58" s="13" t="s">
        <v>638</v>
      </c>
      <c r="D58" s="12"/>
      <c r="E58" s="14"/>
      <c r="F58" s="12"/>
      <c r="G58" s="17" t="s">
        <v>630</v>
      </c>
      <c r="H58" s="17" t="s">
        <v>631</v>
      </c>
      <c r="I58" s="17" t="s">
        <v>632</v>
      </c>
    </row>
    <row r="59" customFormat="false" ht="41.25" hidden="false" customHeight="true" outlineLevel="0" collapsed="false">
      <c r="A59" s="12" t="s">
        <v>639</v>
      </c>
      <c r="B59" s="12"/>
      <c r="C59" s="13" t="s">
        <v>640</v>
      </c>
      <c r="D59" s="12"/>
      <c r="E59" s="14"/>
      <c r="F59" s="12"/>
      <c r="G59" s="17" t="s">
        <v>630</v>
      </c>
      <c r="H59" s="17" t="s">
        <v>631</v>
      </c>
      <c r="I59" s="17" t="s">
        <v>632</v>
      </c>
    </row>
  </sheetData>
  <mergeCells count="8">
    <mergeCell ref="A1:I1"/>
    <mergeCell ref="A2:I2"/>
    <mergeCell ref="A5:I5"/>
    <mergeCell ref="A13:I13"/>
    <mergeCell ref="A24:I24"/>
    <mergeCell ref="A34:I34"/>
    <mergeCell ref="A42:I42"/>
    <mergeCell ref="A54:I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38.88"/>
    <col collapsed="false" customWidth="true" hidden="false" outlineLevel="0" max="7" min="7" style="1" width="45"/>
    <col collapsed="false" customWidth="true" hidden="false" outlineLevel="0" max="8" min="8" style="1" width="40"/>
    <col collapsed="false" customWidth="true" hidden="false" outlineLevel="0" max="9" min="9" style="1" width="35"/>
  </cols>
  <sheetData>
    <row r="1" customFormat="false" ht="18" hidden="false" customHeight="true" outlineLevel="0" collapsed="false">
      <c r="A1" s="8" t="s">
        <v>641</v>
      </c>
      <c r="B1" s="8"/>
      <c r="C1" s="8"/>
      <c r="D1" s="8"/>
      <c r="E1" s="8"/>
      <c r="F1" s="8"/>
      <c r="G1" s="8"/>
      <c r="H1" s="8"/>
      <c r="I1" s="8"/>
    </row>
    <row r="2" customFormat="false" ht="14.25" hidden="false" customHeight="true" outlineLevel="0" collapsed="false">
      <c r="A2" s="15" t="s">
        <v>642</v>
      </c>
      <c r="B2" s="15"/>
      <c r="C2" s="15"/>
      <c r="D2" s="15"/>
      <c r="E2" s="15"/>
      <c r="F2" s="15"/>
      <c r="G2" s="15"/>
      <c r="H2" s="15"/>
      <c r="I2" s="15"/>
    </row>
    <row r="4" customFormat="false" ht="28.5" hidden="false" customHeight="true" outlineLevel="0" collapsed="false">
      <c r="A4" s="10" t="s">
        <v>58</v>
      </c>
      <c r="B4" s="10" t="s">
        <v>59</v>
      </c>
      <c r="C4" s="10" t="s">
        <v>254</v>
      </c>
      <c r="D4" s="10" t="s">
        <v>255</v>
      </c>
      <c r="E4" s="10" t="s">
        <v>256</v>
      </c>
      <c r="F4" s="10" t="s">
        <v>257</v>
      </c>
      <c r="G4" s="16" t="s">
        <v>258</v>
      </c>
      <c r="H4" s="16" t="s">
        <v>259</v>
      </c>
      <c r="I4" s="16" t="s">
        <v>260</v>
      </c>
    </row>
    <row r="5" customFormat="false" ht="14.2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41.25" hidden="false" customHeight="true" outlineLevel="0" collapsed="false">
      <c r="A6" s="12" t="s">
        <v>261</v>
      </c>
      <c r="B6" s="12"/>
      <c r="C6" s="13" t="s">
        <v>643</v>
      </c>
      <c r="D6" s="12" t="s">
        <v>263</v>
      </c>
      <c r="E6" s="14"/>
      <c r="F6" s="12" t="s">
        <v>644</v>
      </c>
      <c r="G6" s="17" t="s">
        <v>645</v>
      </c>
      <c r="H6" s="17" t="s">
        <v>646</v>
      </c>
      <c r="I6" s="17" t="s">
        <v>647</v>
      </c>
    </row>
    <row r="7" customFormat="false" ht="41.25" hidden="false" customHeight="true" outlineLevel="0" collapsed="false">
      <c r="A7" s="12" t="s">
        <v>268</v>
      </c>
      <c r="B7" s="12"/>
      <c r="C7" s="13" t="s">
        <v>648</v>
      </c>
      <c r="D7" s="12" t="s">
        <v>263</v>
      </c>
      <c r="E7" s="14"/>
      <c r="F7" s="12" t="s">
        <v>649</v>
      </c>
      <c r="G7" s="17" t="s">
        <v>645</v>
      </c>
      <c r="H7" s="17" t="s">
        <v>646</v>
      </c>
      <c r="I7" s="17" t="s">
        <v>647</v>
      </c>
    </row>
    <row r="8" customFormat="false" ht="41.25" hidden="false" customHeight="true" outlineLevel="0" collapsed="false">
      <c r="A8" s="12" t="s">
        <v>271</v>
      </c>
      <c r="B8" s="12"/>
      <c r="C8" s="13" t="s">
        <v>650</v>
      </c>
      <c r="D8" s="12" t="s">
        <v>263</v>
      </c>
      <c r="E8" s="14"/>
      <c r="F8" s="12" t="s">
        <v>651</v>
      </c>
      <c r="G8" s="17" t="s">
        <v>645</v>
      </c>
      <c r="H8" s="17" t="s">
        <v>646</v>
      </c>
      <c r="I8" s="17" t="s">
        <v>647</v>
      </c>
    </row>
    <row r="9" customFormat="false" ht="41.25" hidden="false" customHeight="true" outlineLevel="0" collapsed="false">
      <c r="A9" s="12" t="s">
        <v>275</v>
      </c>
      <c r="B9" s="12"/>
      <c r="C9" s="13" t="s">
        <v>652</v>
      </c>
      <c r="D9" s="12" t="s">
        <v>263</v>
      </c>
      <c r="E9" s="14"/>
      <c r="F9" s="12" t="s">
        <v>653</v>
      </c>
      <c r="G9" s="17" t="s">
        <v>645</v>
      </c>
      <c r="H9" s="17" t="s">
        <v>646</v>
      </c>
      <c r="I9" s="17" t="s">
        <v>647</v>
      </c>
    </row>
    <row r="10" customFormat="false" ht="41.25" hidden="false" customHeight="true" outlineLevel="0" collapsed="false">
      <c r="A10" s="12" t="s">
        <v>278</v>
      </c>
      <c r="B10" s="12"/>
      <c r="C10" s="13" t="s">
        <v>654</v>
      </c>
      <c r="D10" s="12" t="s">
        <v>263</v>
      </c>
      <c r="E10" s="14"/>
      <c r="F10" s="12" t="s">
        <v>655</v>
      </c>
      <c r="G10" s="17" t="s">
        <v>645</v>
      </c>
      <c r="H10" s="17" t="s">
        <v>646</v>
      </c>
      <c r="I10" s="17" t="s">
        <v>647</v>
      </c>
    </row>
    <row r="11" customFormat="false" ht="41.25" hidden="false" customHeight="true" outlineLevel="0" collapsed="false">
      <c r="A11" s="12" t="s">
        <v>281</v>
      </c>
      <c r="B11" s="12"/>
      <c r="C11" s="13" t="s">
        <v>656</v>
      </c>
      <c r="D11" s="12" t="s">
        <v>263</v>
      </c>
      <c r="E11" s="14"/>
      <c r="F11" s="12" t="s">
        <v>657</v>
      </c>
      <c r="G11" s="17" t="s">
        <v>645</v>
      </c>
      <c r="H11" s="17" t="s">
        <v>646</v>
      </c>
      <c r="I11" s="17" t="s">
        <v>647</v>
      </c>
    </row>
    <row r="12" customFormat="false" ht="41.25" hidden="false" customHeight="true" outlineLevel="0" collapsed="false">
      <c r="A12" s="12" t="s">
        <v>285</v>
      </c>
      <c r="B12" s="12"/>
      <c r="C12" s="13" t="s">
        <v>658</v>
      </c>
      <c r="D12" s="12" t="s">
        <v>612</v>
      </c>
      <c r="E12" s="14"/>
      <c r="F12" s="12" t="s">
        <v>659</v>
      </c>
      <c r="G12" s="17" t="s">
        <v>645</v>
      </c>
      <c r="H12" s="17" t="s">
        <v>646</v>
      </c>
      <c r="I12" s="17" t="s">
        <v>647</v>
      </c>
    </row>
    <row r="14" customFormat="false" ht="14.2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</row>
    <row r="15" customFormat="false" ht="41.25" hidden="false" customHeight="true" outlineLevel="0" collapsed="false">
      <c r="A15" s="12" t="s">
        <v>300</v>
      </c>
      <c r="B15" s="12"/>
      <c r="C15" s="13" t="s">
        <v>660</v>
      </c>
      <c r="D15" s="12" t="s">
        <v>263</v>
      </c>
      <c r="E15" s="14"/>
      <c r="F15" s="12" t="s">
        <v>661</v>
      </c>
      <c r="G15" s="17" t="s">
        <v>662</v>
      </c>
      <c r="H15" s="17" t="s">
        <v>663</v>
      </c>
      <c r="I15" s="17" t="s">
        <v>664</v>
      </c>
    </row>
    <row r="16" customFormat="false" ht="41.25" hidden="false" customHeight="true" outlineLevel="0" collapsed="false">
      <c r="A16" s="12" t="s">
        <v>307</v>
      </c>
      <c r="B16" s="12"/>
      <c r="C16" s="13" t="s">
        <v>665</v>
      </c>
      <c r="D16" s="12" t="s">
        <v>263</v>
      </c>
      <c r="E16" s="14"/>
      <c r="F16" s="12" t="s">
        <v>666</v>
      </c>
      <c r="G16" s="17" t="s">
        <v>662</v>
      </c>
      <c r="H16" s="17" t="s">
        <v>663</v>
      </c>
      <c r="I16" s="17" t="s">
        <v>664</v>
      </c>
    </row>
    <row r="17" customFormat="false" ht="41.25" hidden="false" customHeight="true" outlineLevel="0" collapsed="false">
      <c r="A17" s="12" t="s">
        <v>310</v>
      </c>
      <c r="B17" s="12"/>
      <c r="C17" s="13" t="s">
        <v>667</v>
      </c>
      <c r="D17" s="12" t="s">
        <v>263</v>
      </c>
      <c r="E17" s="14"/>
      <c r="F17" s="12" t="s">
        <v>668</v>
      </c>
      <c r="G17" s="17" t="s">
        <v>662</v>
      </c>
      <c r="H17" s="17" t="s">
        <v>663</v>
      </c>
      <c r="I17" s="17" t="s">
        <v>664</v>
      </c>
    </row>
    <row r="18" customFormat="false" ht="41.25" hidden="false" customHeight="true" outlineLevel="0" collapsed="false">
      <c r="A18" s="12" t="s">
        <v>313</v>
      </c>
      <c r="B18" s="12"/>
      <c r="C18" s="13" t="s">
        <v>669</v>
      </c>
      <c r="D18" s="12" t="s">
        <v>263</v>
      </c>
      <c r="E18" s="14"/>
      <c r="F18" s="12" t="s">
        <v>670</v>
      </c>
      <c r="G18" s="17" t="s">
        <v>662</v>
      </c>
      <c r="H18" s="17" t="s">
        <v>663</v>
      </c>
      <c r="I18" s="17" t="s">
        <v>664</v>
      </c>
    </row>
    <row r="19" customFormat="false" ht="41.25" hidden="false" customHeight="true" outlineLevel="0" collapsed="false">
      <c r="A19" s="12" t="s">
        <v>316</v>
      </c>
      <c r="B19" s="12"/>
      <c r="C19" s="13" t="s">
        <v>671</v>
      </c>
      <c r="D19" s="12" t="s">
        <v>597</v>
      </c>
      <c r="E19" s="14"/>
      <c r="F19" s="12" t="s">
        <v>672</v>
      </c>
      <c r="G19" s="17" t="s">
        <v>662</v>
      </c>
      <c r="H19" s="17" t="s">
        <v>663</v>
      </c>
      <c r="I19" s="17" t="s">
        <v>664</v>
      </c>
    </row>
    <row r="21" customFormat="false" ht="14.2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  <row r="22" customFormat="false" ht="14.25" hidden="false" customHeight="true" outlineLevel="0" collapsed="false">
      <c r="A22" s="12" t="s">
        <v>335</v>
      </c>
      <c r="B22" s="12"/>
      <c r="C22" s="13" t="s">
        <v>673</v>
      </c>
      <c r="D22" s="12" t="s">
        <v>263</v>
      </c>
      <c r="E22" s="14"/>
      <c r="F22" s="12" t="s">
        <v>674</v>
      </c>
      <c r="G22" s="17" t="s">
        <v>675</v>
      </c>
      <c r="H22" s="17" t="s">
        <v>676</v>
      </c>
      <c r="I22" s="17" t="s">
        <v>677</v>
      </c>
    </row>
    <row r="23" customFormat="false" ht="14.25" hidden="false" customHeight="true" outlineLevel="0" collapsed="false">
      <c r="A23" s="12" t="s">
        <v>341</v>
      </c>
      <c r="B23" s="12"/>
      <c r="C23" s="13" t="s">
        <v>678</v>
      </c>
      <c r="D23" s="12" t="s">
        <v>263</v>
      </c>
      <c r="E23" s="14"/>
      <c r="F23" s="12" t="s">
        <v>679</v>
      </c>
      <c r="G23" s="17" t="s">
        <v>675</v>
      </c>
      <c r="H23" s="17" t="s">
        <v>676</v>
      </c>
      <c r="I23" s="17" t="s">
        <v>677</v>
      </c>
    </row>
    <row r="24" customFormat="false" ht="14.25" hidden="false" customHeight="true" outlineLevel="0" collapsed="false">
      <c r="A24" s="12" t="s">
        <v>344</v>
      </c>
      <c r="B24" s="12"/>
      <c r="C24" s="13" t="s">
        <v>680</v>
      </c>
      <c r="D24" s="12" t="s">
        <v>263</v>
      </c>
      <c r="E24" s="14"/>
      <c r="F24" s="12" t="s">
        <v>681</v>
      </c>
      <c r="G24" s="17" t="s">
        <v>675</v>
      </c>
      <c r="H24" s="17" t="s">
        <v>676</v>
      </c>
      <c r="I24" s="17" t="s">
        <v>677</v>
      </c>
    </row>
    <row r="25" customFormat="false" ht="14.25" hidden="false" customHeight="true" outlineLevel="0" collapsed="false">
      <c r="A25" s="12" t="s">
        <v>347</v>
      </c>
      <c r="B25" s="12"/>
      <c r="C25" s="13" t="s">
        <v>682</v>
      </c>
      <c r="D25" s="12" t="s">
        <v>263</v>
      </c>
      <c r="E25" s="14"/>
      <c r="F25" s="12" t="s">
        <v>683</v>
      </c>
      <c r="G25" s="17" t="s">
        <v>675</v>
      </c>
      <c r="H25" s="17" t="s">
        <v>676</v>
      </c>
      <c r="I25" s="17" t="s">
        <v>677</v>
      </c>
    </row>
    <row r="26" customFormat="false" ht="14.25" hidden="false" customHeight="true" outlineLevel="0" collapsed="false">
      <c r="A26" s="12" t="s">
        <v>351</v>
      </c>
      <c r="B26" s="12"/>
      <c r="C26" s="13" t="s">
        <v>684</v>
      </c>
      <c r="D26" s="12" t="s">
        <v>263</v>
      </c>
      <c r="E26" s="14"/>
      <c r="F26" s="12" t="s">
        <v>685</v>
      </c>
      <c r="G26" s="17" t="s">
        <v>675</v>
      </c>
      <c r="H26" s="17" t="s">
        <v>676</v>
      </c>
      <c r="I26" s="17" t="s">
        <v>677</v>
      </c>
    </row>
    <row r="27" customFormat="false" ht="14.25" hidden="false" customHeight="true" outlineLevel="0" collapsed="false">
      <c r="A27" s="12" t="s">
        <v>355</v>
      </c>
      <c r="B27" s="12"/>
      <c r="C27" s="13" t="s">
        <v>686</v>
      </c>
      <c r="D27" s="12" t="s">
        <v>263</v>
      </c>
      <c r="E27" s="14"/>
      <c r="F27" s="12" t="s">
        <v>687</v>
      </c>
      <c r="G27" s="17" t="s">
        <v>675</v>
      </c>
      <c r="H27" s="17" t="s">
        <v>676</v>
      </c>
      <c r="I27" s="17" t="s">
        <v>677</v>
      </c>
    </row>
    <row r="28" customFormat="false" ht="14.25" hidden="false" customHeight="true" outlineLevel="0" collapsed="false">
      <c r="A28" s="12" t="s">
        <v>358</v>
      </c>
      <c r="B28" s="12"/>
      <c r="C28" s="13" t="s">
        <v>688</v>
      </c>
      <c r="D28" s="12" t="s">
        <v>263</v>
      </c>
      <c r="E28" s="14"/>
      <c r="F28" s="12" t="s">
        <v>689</v>
      </c>
      <c r="G28" s="17" t="s">
        <v>675</v>
      </c>
      <c r="H28" s="17" t="s">
        <v>676</v>
      </c>
      <c r="I28" s="17" t="s">
        <v>677</v>
      </c>
    </row>
    <row r="29" customFormat="false" ht="14.25" hidden="false" customHeight="true" outlineLevel="0" collapsed="false">
      <c r="A29" s="12" t="s">
        <v>479</v>
      </c>
      <c r="B29" s="12"/>
      <c r="C29" s="13" t="s">
        <v>690</v>
      </c>
      <c r="D29" s="12" t="s">
        <v>263</v>
      </c>
      <c r="E29" s="14"/>
      <c r="F29" s="12" t="s">
        <v>691</v>
      </c>
      <c r="G29" s="17" t="s">
        <v>675</v>
      </c>
      <c r="H29" s="17" t="s">
        <v>676</v>
      </c>
      <c r="I29" s="17" t="s">
        <v>677</v>
      </c>
    </row>
    <row r="30" customFormat="false" ht="14.25" hidden="false" customHeight="true" outlineLevel="0" collapsed="false">
      <c r="A30" s="12" t="s">
        <v>482</v>
      </c>
      <c r="B30" s="12"/>
      <c r="C30" s="13" t="s">
        <v>692</v>
      </c>
      <c r="D30" s="12" t="s">
        <v>263</v>
      </c>
      <c r="E30" s="14"/>
      <c r="F30" s="12" t="s">
        <v>693</v>
      </c>
      <c r="G30" s="17" t="s">
        <v>675</v>
      </c>
      <c r="H30" s="17" t="s">
        <v>676</v>
      </c>
      <c r="I30" s="17" t="s">
        <v>677</v>
      </c>
    </row>
    <row r="32" customFormat="false" ht="14.2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</row>
    <row r="33" customFormat="false" ht="27" hidden="false" customHeight="true" outlineLevel="0" collapsed="false">
      <c r="A33" s="12" t="s">
        <v>361</v>
      </c>
      <c r="B33" s="12"/>
      <c r="C33" s="13" t="s">
        <v>694</v>
      </c>
      <c r="D33" s="12" t="s">
        <v>263</v>
      </c>
      <c r="E33" s="14"/>
      <c r="F33" s="12" t="s">
        <v>695</v>
      </c>
      <c r="G33" s="17" t="s">
        <v>696</v>
      </c>
      <c r="H33" s="17" t="s">
        <v>697</v>
      </c>
      <c r="I33" s="17" t="s">
        <v>698</v>
      </c>
    </row>
    <row r="34" customFormat="false" ht="27" hidden="false" customHeight="true" outlineLevel="0" collapsed="false">
      <c r="A34" s="12" t="s">
        <v>368</v>
      </c>
      <c r="B34" s="12"/>
      <c r="C34" s="13" t="s">
        <v>699</v>
      </c>
      <c r="D34" s="12" t="s">
        <v>263</v>
      </c>
      <c r="E34" s="14"/>
      <c r="F34" s="12" t="s">
        <v>700</v>
      </c>
      <c r="G34" s="17" t="s">
        <v>696</v>
      </c>
      <c r="H34" s="17" t="s">
        <v>697</v>
      </c>
      <c r="I34" s="17" t="s">
        <v>698</v>
      </c>
    </row>
    <row r="35" customFormat="false" ht="27" hidden="false" customHeight="true" outlineLevel="0" collapsed="false">
      <c r="A35" s="12" t="s">
        <v>371</v>
      </c>
      <c r="B35" s="12"/>
      <c r="C35" s="13" t="s">
        <v>701</v>
      </c>
      <c r="D35" s="12" t="s">
        <v>353</v>
      </c>
      <c r="E35" s="14"/>
      <c r="F35" s="12" t="s">
        <v>702</v>
      </c>
      <c r="G35" s="17" t="s">
        <v>696</v>
      </c>
      <c r="H35" s="17" t="s">
        <v>697</v>
      </c>
      <c r="I35" s="17" t="s">
        <v>698</v>
      </c>
    </row>
    <row r="36" customFormat="false" ht="27" hidden="false" customHeight="true" outlineLevel="0" collapsed="false">
      <c r="A36" s="12" t="s">
        <v>375</v>
      </c>
      <c r="B36" s="12"/>
      <c r="C36" s="13" t="s">
        <v>703</v>
      </c>
      <c r="D36" s="12" t="s">
        <v>616</v>
      </c>
      <c r="E36" s="14"/>
      <c r="F36" s="12" t="s">
        <v>704</v>
      </c>
      <c r="G36" s="17" t="s">
        <v>696</v>
      </c>
      <c r="H36" s="17" t="s">
        <v>697</v>
      </c>
      <c r="I36" s="17" t="s">
        <v>698</v>
      </c>
    </row>
    <row r="37" customFormat="false" ht="27" hidden="false" customHeight="true" outlineLevel="0" collapsed="false">
      <c r="A37" s="12" t="s">
        <v>378</v>
      </c>
      <c r="B37" s="12"/>
      <c r="C37" s="13" t="s">
        <v>705</v>
      </c>
      <c r="D37" s="12" t="s">
        <v>616</v>
      </c>
      <c r="E37" s="14"/>
      <c r="F37" s="12" t="s">
        <v>706</v>
      </c>
      <c r="G37" s="17" t="s">
        <v>696</v>
      </c>
      <c r="H37" s="17" t="s">
        <v>697</v>
      </c>
      <c r="I37" s="17" t="s">
        <v>698</v>
      </c>
    </row>
    <row r="39" customFormat="false" ht="14.2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</row>
    <row r="40" customFormat="false" ht="27" hidden="false" customHeight="true" outlineLevel="0" collapsed="false">
      <c r="A40" s="12" t="s">
        <v>397</v>
      </c>
      <c r="B40" s="12"/>
      <c r="C40" s="13" t="s">
        <v>707</v>
      </c>
      <c r="D40" s="12" t="s">
        <v>302</v>
      </c>
      <c r="E40" s="14"/>
      <c r="F40" s="12" t="s">
        <v>708</v>
      </c>
      <c r="G40" s="17" t="s">
        <v>709</v>
      </c>
      <c r="H40" s="17" t="s">
        <v>710</v>
      </c>
      <c r="I40" s="17" t="s">
        <v>466</v>
      </c>
    </row>
    <row r="41" customFormat="false" ht="27" hidden="false" customHeight="true" outlineLevel="0" collapsed="false">
      <c r="A41" s="12" t="s">
        <v>404</v>
      </c>
      <c r="B41" s="12"/>
      <c r="C41" s="13" t="s">
        <v>711</v>
      </c>
      <c r="D41" s="12" t="s">
        <v>302</v>
      </c>
      <c r="E41" s="14"/>
      <c r="F41" s="12" t="s">
        <v>350</v>
      </c>
      <c r="G41" s="17" t="s">
        <v>709</v>
      </c>
      <c r="H41" s="17" t="s">
        <v>710</v>
      </c>
      <c r="I41" s="17" t="s">
        <v>466</v>
      </c>
    </row>
    <row r="42" customFormat="false" ht="27" hidden="false" customHeight="true" outlineLevel="0" collapsed="false">
      <c r="A42" s="12" t="s">
        <v>407</v>
      </c>
      <c r="B42" s="12"/>
      <c r="C42" s="13" t="s">
        <v>712</v>
      </c>
      <c r="D42" s="12" t="s">
        <v>263</v>
      </c>
      <c r="E42" s="14"/>
      <c r="F42" s="12" t="s">
        <v>321</v>
      </c>
      <c r="G42" s="17" t="s">
        <v>709</v>
      </c>
      <c r="H42" s="17" t="s">
        <v>710</v>
      </c>
      <c r="I42" s="17" t="s">
        <v>466</v>
      </c>
    </row>
    <row r="43" customFormat="false" ht="27" hidden="false" customHeight="true" outlineLevel="0" collapsed="false">
      <c r="A43" s="12" t="s">
        <v>411</v>
      </c>
      <c r="B43" s="12"/>
      <c r="C43" s="13" t="s">
        <v>595</v>
      </c>
      <c r="D43" s="12" t="s">
        <v>263</v>
      </c>
      <c r="E43" s="14"/>
      <c r="F43" s="12" t="s">
        <v>327</v>
      </c>
      <c r="G43" s="17" t="s">
        <v>709</v>
      </c>
      <c r="H43" s="17" t="s">
        <v>710</v>
      </c>
      <c r="I43" s="17" t="s">
        <v>466</v>
      </c>
    </row>
    <row r="44" customFormat="false" ht="27" hidden="false" customHeight="true" outlineLevel="0" collapsed="false">
      <c r="A44" s="12" t="s">
        <v>413</v>
      </c>
      <c r="B44" s="12"/>
      <c r="C44" s="13" t="s">
        <v>204</v>
      </c>
      <c r="D44" s="12" t="s">
        <v>539</v>
      </c>
      <c r="E44" s="14"/>
      <c r="F44" s="12" t="s">
        <v>713</v>
      </c>
      <c r="G44" s="17" t="s">
        <v>709</v>
      </c>
      <c r="H44" s="17" t="s">
        <v>710</v>
      </c>
      <c r="I44" s="17" t="s">
        <v>466</v>
      </c>
    </row>
    <row r="46" customFormat="false" ht="14.2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</row>
    <row r="47" customFormat="false" ht="54.75" hidden="false" customHeight="true" outlineLevel="0" collapsed="false">
      <c r="A47" s="12" t="s">
        <v>628</v>
      </c>
      <c r="B47" s="12"/>
      <c r="C47" s="13" t="s">
        <v>714</v>
      </c>
      <c r="D47" s="12" t="s">
        <v>597</v>
      </c>
      <c r="E47" s="14"/>
      <c r="F47" s="12" t="s">
        <v>715</v>
      </c>
      <c r="G47" s="17" t="s">
        <v>716</v>
      </c>
      <c r="H47" s="17" t="s">
        <v>717</v>
      </c>
      <c r="I47" s="17" t="s">
        <v>718</v>
      </c>
    </row>
    <row r="48" customFormat="false" ht="54.75" hidden="false" customHeight="true" outlineLevel="0" collapsed="false">
      <c r="A48" s="12" t="s">
        <v>633</v>
      </c>
      <c r="B48" s="12"/>
      <c r="C48" s="13" t="s">
        <v>719</v>
      </c>
      <c r="D48" s="12" t="s">
        <v>373</v>
      </c>
      <c r="E48" s="14"/>
      <c r="F48" s="12" t="s">
        <v>193</v>
      </c>
      <c r="G48" s="17" t="s">
        <v>716</v>
      </c>
      <c r="H48" s="17" t="s">
        <v>717</v>
      </c>
      <c r="I48" s="17" t="s">
        <v>718</v>
      </c>
    </row>
    <row r="49" customFormat="false" ht="54.75" hidden="false" customHeight="true" outlineLevel="0" collapsed="false">
      <c r="A49" s="12" t="s">
        <v>635</v>
      </c>
      <c r="B49" s="12"/>
      <c r="C49" s="13" t="s">
        <v>720</v>
      </c>
      <c r="D49" s="12" t="s">
        <v>373</v>
      </c>
      <c r="E49" s="14"/>
      <c r="F49" s="12" t="s">
        <v>721</v>
      </c>
      <c r="G49" s="17" t="s">
        <v>716</v>
      </c>
      <c r="H49" s="17" t="s">
        <v>717</v>
      </c>
      <c r="I49" s="17" t="s">
        <v>718</v>
      </c>
    </row>
    <row r="50" customFormat="false" ht="54.75" hidden="false" customHeight="true" outlineLevel="0" collapsed="false">
      <c r="A50" s="12" t="s">
        <v>637</v>
      </c>
      <c r="B50" s="12"/>
      <c r="C50" s="13" t="s">
        <v>722</v>
      </c>
      <c r="D50" s="12" t="s">
        <v>263</v>
      </c>
      <c r="E50" s="14"/>
      <c r="F50" s="12" t="s">
        <v>723</v>
      </c>
      <c r="G50" s="17" t="s">
        <v>716</v>
      </c>
      <c r="H50" s="17" t="s">
        <v>717</v>
      </c>
      <c r="I50" s="17" t="s">
        <v>718</v>
      </c>
    </row>
    <row r="51" customFormat="false" ht="54.75" hidden="false" customHeight="true" outlineLevel="0" collapsed="false">
      <c r="A51" s="12" t="s">
        <v>639</v>
      </c>
      <c r="B51" s="12"/>
      <c r="C51" s="13" t="s">
        <v>724</v>
      </c>
      <c r="D51" s="12" t="s">
        <v>263</v>
      </c>
      <c r="E51" s="14"/>
      <c r="F51" s="12" t="s">
        <v>725</v>
      </c>
      <c r="G51" s="17" t="s">
        <v>716</v>
      </c>
      <c r="H51" s="17" t="s">
        <v>717</v>
      </c>
      <c r="I51" s="17" t="s">
        <v>718</v>
      </c>
    </row>
    <row r="52" customFormat="false" ht="54.75" hidden="false" customHeight="true" outlineLevel="0" collapsed="false">
      <c r="A52" s="12" t="s">
        <v>726</v>
      </c>
      <c r="B52" s="12"/>
      <c r="C52" s="13" t="s">
        <v>727</v>
      </c>
      <c r="D52" s="12" t="s">
        <v>612</v>
      </c>
      <c r="E52" s="14"/>
      <c r="F52" s="12" t="s">
        <v>728</v>
      </c>
      <c r="G52" s="17" t="s">
        <v>716</v>
      </c>
      <c r="H52" s="17" t="s">
        <v>717</v>
      </c>
      <c r="I52" s="17" t="s">
        <v>718</v>
      </c>
    </row>
    <row r="53" customFormat="false" ht="54.75" hidden="false" customHeight="true" outlineLevel="0" collapsed="false">
      <c r="A53" s="12" t="s">
        <v>729</v>
      </c>
      <c r="B53" s="12"/>
      <c r="C53" s="13" t="s">
        <v>730</v>
      </c>
      <c r="D53" s="12" t="s">
        <v>616</v>
      </c>
      <c r="E53" s="14"/>
      <c r="F53" s="12" t="s">
        <v>731</v>
      </c>
      <c r="G53" s="17" t="s">
        <v>716</v>
      </c>
      <c r="H53" s="17" t="s">
        <v>717</v>
      </c>
      <c r="I53" s="17" t="s">
        <v>718</v>
      </c>
    </row>
    <row r="54" customFormat="false" ht="54.75" hidden="false" customHeight="true" outlineLevel="0" collapsed="false">
      <c r="A54" s="12" t="s">
        <v>732</v>
      </c>
      <c r="B54" s="12"/>
      <c r="C54" s="13" t="s">
        <v>733</v>
      </c>
      <c r="D54" s="12" t="s">
        <v>539</v>
      </c>
      <c r="E54" s="14"/>
      <c r="F54" s="12" t="s">
        <v>734</v>
      </c>
      <c r="G54" s="17" t="s">
        <v>716</v>
      </c>
      <c r="H54" s="17" t="s">
        <v>717</v>
      </c>
      <c r="I54" s="17" t="s">
        <v>718</v>
      </c>
    </row>
    <row r="55" customFormat="false" ht="54.75" hidden="false" customHeight="true" outlineLevel="0" collapsed="false">
      <c r="A55" s="12" t="s">
        <v>735</v>
      </c>
      <c r="B55" s="12"/>
      <c r="C55" s="13" t="s">
        <v>736</v>
      </c>
      <c r="D55" s="12" t="s">
        <v>616</v>
      </c>
      <c r="E55" s="14"/>
      <c r="F55" s="12" t="s">
        <v>737</v>
      </c>
      <c r="G55" s="17" t="s">
        <v>716</v>
      </c>
      <c r="H55" s="17" t="s">
        <v>717</v>
      </c>
      <c r="I55" s="17" t="s">
        <v>718</v>
      </c>
    </row>
    <row r="56" customFormat="false" ht="54.75" hidden="false" customHeight="true" outlineLevel="0" collapsed="false">
      <c r="A56" s="12" t="s">
        <v>738</v>
      </c>
      <c r="B56" s="12"/>
      <c r="C56" s="13" t="s">
        <v>395</v>
      </c>
      <c r="D56" s="12" t="s">
        <v>373</v>
      </c>
      <c r="E56" s="14"/>
      <c r="F56" s="12" t="s">
        <v>739</v>
      </c>
      <c r="G56" s="17" t="s">
        <v>716</v>
      </c>
      <c r="H56" s="17" t="s">
        <v>717</v>
      </c>
      <c r="I56" s="17" t="s">
        <v>718</v>
      </c>
    </row>
  </sheetData>
  <mergeCells count="8">
    <mergeCell ref="A1:I1"/>
    <mergeCell ref="A2:I2"/>
    <mergeCell ref="A5:I5"/>
    <mergeCell ref="A14:I14"/>
    <mergeCell ref="A21:I21"/>
    <mergeCell ref="A32:I32"/>
    <mergeCell ref="A39:I39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35"/>
    <col collapsed="false" customWidth="true" hidden="false" outlineLevel="0" max="5" min="5" style="1" width="28"/>
    <col collapsed="false" customWidth="true" hidden="false" outlineLevel="0" max="6" min="6" style="1" width="25"/>
    <col collapsed="false" customWidth="true" hidden="false" outlineLevel="0" max="7" min="7" style="1" width="45"/>
    <col collapsed="false" customWidth="true" hidden="false" outlineLevel="0" max="8" min="8" style="1" width="40"/>
    <col collapsed="false" customWidth="true" hidden="false" outlineLevel="0" max="9" min="9" style="1" width="35"/>
  </cols>
  <sheetData>
    <row r="1" customFormat="false" ht="18" hidden="false" customHeight="true" outlineLevel="0" collapsed="false">
      <c r="A1" s="8" t="s">
        <v>740</v>
      </c>
      <c r="B1" s="8"/>
      <c r="C1" s="8"/>
      <c r="D1" s="8"/>
      <c r="E1" s="8"/>
      <c r="F1" s="8"/>
      <c r="G1" s="8"/>
      <c r="H1" s="8"/>
      <c r="I1" s="8"/>
    </row>
    <row r="2" customFormat="false" ht="14.25" hidden="false" customHeight="true" outlineLevel="0" collapsed="false">
      <c r="A2" s="15" t="s">
        <v>741</v>
      </c>
      <c r="B2" s="15"/>
      <c r="C2" s="15"/>
      <c r="D2" s="15"/>
      <c r="E2" s="15"/>
      <c r="F2" s="15"/>
      <c r="G2" s="15"/>
      <c r="H2" s="15"/>
      <c r="I2" s="15"/>
    </row>
    <row r="4" customFormat="false" ht="28.5" hidden="false" customHeight="true" outlineLevel="0" collapsed="false">
      <c r="A4" s="10" t="s">
        <v>58</v>
      </c>
      <c r="B4" s="10" t="s">
        <v>59</v>
      </c>
      <c r="C4" s="10" t="s">
        <v>254</v>
      </c>
      <c r="D4" s="10" t="s">
        <v>742</v>
      </c>
      <c r="E4" s="10" t="s">
        <v>256</v>
      </c>
      <c r="F4" s="10" t="s">
        <v>257</v>
      </c>
      <c r="G4" s="16" t="s">
        <v>258</v>
      </c>
      <c r="H4" s="16" t="s">
        <v>259</v>
      </c>
      <c r="I4" s="16" t="s">
        <v>260</v>
      </c>
    </row>
    <row r="5" customFormat="false" ht="14.2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41.25" hidden="false" customHeight="true" outlineLevel="0" collapsed="false">
      <c r="A6" s="12" t="s">
        <v>261</v>
      </c>
      <c r="B6" s="12"/>
      <c r="C6" s="13" t="s">
        <v>743</v>
      </c>
      <c r="D6" s="12" t="s">
        <v>744</v>
      </c>
      <c r="E6" s="14"/>
      <c r="F6" s="12" t="s">
        <v>745</v>
      </c>
      <c r="G6" s="17" t="s">
        <v>746</v>
      </c>
      <c r="H6" s="17" t="s">
        <v>747</v>
      </c>
      <c r="I6" s="17" t="s">
        <v>748</v>
      </c>
    </row>
    <row r="7" customFormat="false" ht="41.25" hidden="false" customHeight="true" outlineLevel="0" collapsed="false">
      <c r="A7" s="12" t="s">
        <v>268</v>
      </c>
      <c r="B7" s="12"/>
      <c r="C7" s="13" t="s">
        <v>749</v>
      </c>
      <c r="D7" s="12" t="s">
        <v>744</v>
      </c>
      <c r="E7" s="14"/>
      <c r="F7" s="12" t="s">
        <v>750</v>
      </c>
      <c r="G7" s="17" t="s">
        <v>746</v>
      </c>
      <c r="H7" s="17" t="s">
        <v>747</v>
      </c>
      <c r="I7" s="17" t="s">
        <v>748</v>
      </c>
    </row>
    <row r="8" customFormat="false" ht="41.25" hidden="false" customHeight="true" outlineLevel="0" collapsed="false">
      <c r="A8" s="12" t="s">
        <v>271</v>
      </c>
      <c r="B8" s="12"/>
      <c r="C8" s="13" t="s">
        <v>751</v>
      </c>
      <c r="D8" s="12" t="s">
        <v>744</v>
      </c>
      <c r="E8" s="14"/>
      <c r="F8" s="12" t="s">
        <v>752</v>
      </c>
      <c r="G8" s="17" t="s">
        <v>746</v>
      </c>
      <c r="H8" s="17" t="s">
        <v>747</v>
      </c>
      <c r="I8" s="17" t="s">
        <v>748</v>
      </c>
    </row>
    <row r="9" customFormat="false" ht="41.25" hidden="false" customHeight="true" outlineLevel="0" collapsed="false">
      <c r="A9" s="12" t="s">
        <v>275</v>
      </c>
      <c r="B9" s="12"/>
      <c r="C9" s="13" t="s">
        <v>753</v>
      </c>
      <c r="D9" s="12" t="s">
        <v>744</v>
      </c>
      <c r="E9" s="14"/>
      <c r="F9" s="12" t="s">
        <v>754</v>
      </c>
      <c r="G9" s="17" t="s">
        <v>746</v>
      </c>
      <c r="H9" s="17" t="s">
        <v>747</v>
      </c>
      <c r="I9" s="17" t="s">
        <v>748</v>
      </c>
    </row>
    <row r="10" customFormat="false" ht="41.25" hidden="false" customHeight="true" outlineLevel="0" collapsed="false">
      <c r="A10" s="12" t="s">
        <v>278</v>
      </c>
      <c r="B10" s="12"/>
      <c r="C10" s="13" t="s">
        <v>755</v>
      </c>
      <c r="D10" s="12" t="s">
        <v>744</v>
      </c>
      <c r="E10" s="14"/>
      <c r="F10" s="12" t="s">
        <v>756</v>
      </c>
      <c r="G10" s="17" t="s">
        <v>746</v>
      </c>
      <c r="H10" s="17" t="s">
        <v>747</v>
      </c>
      <c r="I10" s="17" t="s">
        <v>748</v>
      </c>
    </row>
    <row r="11" customFormat="false" ht="41.25" hidden="false" customHeight="true" outlineLevel="0" collapsed="false">
      <c r="A11" s="12" t="s">
        <v>281</v>
      </c>
      <c r="B11" s="12"/>
      <c r="C11" s="13" t="s">
        <v>757</v>
      </c>
      <c r="D11" s="12" t="s">
        <v>744</v>
      </c>
      <c r="E11" s="14"/>
      <c r="F11" s="12" t="s">
        <v>758</v>
      </c>
      <c r="G11" s="17" t="s">
        <v>746</v>
      </c>
      <c r="H11" s="17" t="s">
        <v>747</v>
      </c>
      <c r="I11" s="17" t="s">
        <v>748</v>
      </c>
    </row>
    <row r="12" customFormat="false" ht="41.25" hidden="false" customHeight="true" outlineLevel="0" collapsed="false">
      <c r="A12" s="12" t="s">
        <v>285</v>
      </c>
      <c r="B12" s="12"/>
      <c r="C12" s="13" t="s">
        <v>759</v>
      </c>
      <c r="D12" s="12" t="s">
        <v>744</v>
      </c>
      <c r="E12" s="14"/>
      <c r="F12" s="12" t="s">
        <v>760</v>
      </c>
      <c r="G12" s="17" t="s">
        <v>746</v>
      </c>
      <c r="H12" s="17" t="s">
        <v>747</v>
      </c>
      <c r="I12" s="17" t="s">
        <v>748</v>
      </c>
    </row>
    <row r="13" customFormat="false" ht="41.25" hidden="false" customHeight="true" outlineLevel="0" collapsed="false">
      <c r="A13" s="12" t="s">
        <v>288</v>
      </c>
      <c r="B13" s="12"/>
      <c r="C13" s="13" t="s">
        <v>761</v>
      </c>
      <c r="D13" s="12" t="s">
        <v>744</v>
      </c>
      <c r="E13" s="14"/>
      <c r="F13" s="12" t="s">
        <v>354</v>
      </c>
      <c r="G13" s="17" t="s">
        <v>746</v>
      </c>
      <c r="H13" s="17" t="s">
        <v>747</v>
      </c>
      <c r="I13" s="17" t="s">
        <v>748</v>
      </c>
    </row>
    <row r="14" customFormat="false" ht="41.25" hidden="false" customHeight="true" outlineLevel="0" collapsed="false">
      <c r="A14" s="12" t="s">
        <v>291</v>
      </c>
      <c r="B14" s="12"/>
      <c r="C14" s="13" t="s">
        <v>762</v>
      </c>
      <c r="D14" s="12" t="s">
        <v>744</v>
      </c>
      <c r="E14" s="14"/>
      <c r="F14" s="12" t="s">
        <v>763</v>
      </c>
      <c r="G14" s="17" t="s">
        <v>746</v>
      </c>
      <c r="H14" s="17" t="s">
        <v>747</v>
      </c>
      <c r="I14" s="17" t="s">
        <v>748</v>
      </c>
    </row>
    <row r="15" customFormat="false" ht="41.25" hidden="false" customHeight="true" outlineLevel="0" collapsed="false">
      <c r="A15" s="12" t="s">
        <v>294</v>
      </c>
      <c r="B15" s="12"/>
      <c r="C15" s="13" t="s">
        <v>764</v>
      </c>
      <c r="D15" s="12" t="s">
        <v>744</v>
      </c>
      <c r="E15" s="14"/>
      <c r="F15" s="12" t="s">
        <v>765</v>
      </c>
      <c r="G15" s="17" t="s">
        <v>746</v>
      </c>
      <c r="H15" s="17" t="s">
        <v>747</v>
      </c>
      <c r="I15" s="17" t="s">
        <v>748</v>
      </c>
    </row>
    <row r="17" customFormat="false" ht="14.2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27" hidden="false" customHeight="true" outlineLevel="0" collapsed="false">
      <c r="A18" s="12" t="s">
        <v>300</v>
      </c>
      <c r="B18" s="12"/>
      <c r="C18" s="13" t="s">
        <v>766</v>
      </c>
      <c r="D18" s="12" t="s">
        <v>767</v>
      </c>
      <c r="E18" s="14"/>
      <c r="F18" s="12" t="s">
        <v>768</v>
      </c>
      <c r="G18" s="17" t="s">
        <v>769</v>
      </c>
      <c r="H18" s="17" t="s">
        <v>770</v>
      </c>
      <c r="I18" s="17" t="s">
        <v>771</v>
      </c>
    </row>
    <row r="19" customFormat="false" ht="27" hidden="false" customHeight="true" outlineLevel="0" collapsed="false">
      <c r="A19" s="12" t="s">
        <v>307</v>
      </c>
      <c r="B19" s="12"/>
      <c r="C19" s="13" t="s">
        <v>772</v>
      </c>
      <c r="D19" s="12" t="s">
        <v>767</v>
      </c>
      <c r="E19" s="14"/>
      <c r="F19" s="12" t="s">
        <v>773</v>
      </c>
      <c r="G19" s="17" t="s">
        <v>769</v>
      </c>
      <c r="H19" s="17" t="s">
        <v>770</v>
      </c>
      <c r="I19" s="17" t="s">
        <v>771</v>
      </c>
    </row>
    <row r="20" customFormat="false" ht="27" hidden="false" customHeight="true" outlineLevel="0" collapsed="false">
      <c r="A20" s="12" t="s">
        <v>310</v>
      </c>
      <c r="B20" s="12"/>
      <c r="C20" s="13" t="s">
        <v>774</v>
      </c>
      <c r="D20" s="12" t="s">
        <v>767</v>
      </c>
      <c r="E20" s="14"/>
      <c r="F20" s="12" t="s">
        <v>775</v>
      </c>
      <c r="G20" s="17" t="s">
        <v>769</v>
      </c>
      <c r="H20" s="17" t="s">
        <v>770</v>
      </c>
      <c r="I20" s="17" t="s">
        <v>771</v>
      </c>
    </row>
    <row r="21" customFormat="false" ht="27" hidden="false" customHeight="true" outlineLevel="0" collapsed="false">
      <c r="A21" s="12" t="s">
        <v>313</v>
      </c>
      <c r="B21" s="12"/>
      <c r="C21" s="13" t="s">
        <v>776</v>
      </c>
      <c r="D21" s="12" t="s">
        <v>767</v>
      </c>
      <c r="E21" s="14"/>
      <c r="F21" s="12" t="s">
        <v>777</v>
      </c>
      <c r="G21" s="17" t="s">
        <v>769</v>
      </c>
      <c r="H21" s="17" t="s">
        <v>770</v>
      </c>
      <c r="I21" s="17" t="s">
        <v>771</v>
      </c>
    </row>
    <row r="22" customFormat="false" ht="27" hidden="false" customHeight="true" outlineLevel="0" collapsed="false">
      <c r="A22" s="12" t="s">
        <v>316</v>
      </c>
      <c r="B22" s="12"/>
      <c r="C22" s="13" t="s">
        <v>778</v>
      </c>
      <c r="D22" s="12" t="s">
        <v>767</v>
      </c>
      <c r="E22" s="14"/>
      <c r="F22" s="12" t="s">
        <v>779</v>
      </c>
      <c r="G22" s="17" t="s">
        <v>769</v>
      </c>
      <c r="H22" s="17" t="s">
        <v>770</v>
      </c>
      <c r="I22" s="17" t="s">
        <v>771</v>
      </c>
    </row>
    <row r="23" customFormat="false" ht="27" hidden="false" customHeight="true" outlineLevel="0" collapsed="false">
      <c r="A23" s="12" t="s">
        <v>319</v>
      </c>
      <c r="B23" s="12"/>
      <c r="C23" s="13" t="s">
        <v>780</v>
      </c>
      <c r="D23" s="12" t="s">
        <v>767</v>
      </c>
      <c r="E23" s="14"/>
      <c r="F23" s="12" t="s">
        <v>781</v>
      </c>
      <c r="G23" s="17" t="s">
        <v>769</v>
      </c>
      <c r="H23" s="17" t="s">
        <v>770</v>
      </c>
      <c r="I23" s="17" t="s">
        <v>771</v>
      </c>
    </row>
    <row r="24" customFormat="false" ht="27" hidden="false" customHeight="true" outlineLevel="0" collapsed="false">
      <c r="A24" s="12" t="s">
        <v>322</v>
      </c>
      <c r="B24" s="12"/>
      <c r="C24" s="13" t="s">
        <v>782</v>
      </c>
      <c r="D24" s="12" t="s">
        <v>767</v>
      </c>
      <c r="E24" s="14"/>
      <c r="F24" s="12" t="s">
        <v>783</v>
      </c>
      <c r="G24" s="17" t="s">
        <v>769</v>
      </c>
      <c r="H24" s="17" t="s">
        <v>770</v>
      </c>
      <c r="I24" s="17" t="s">
        <v>771</v>
      </c>
    </row>
    <row r="25" customFormat="false" ht="27" hidden="false" customHeight="true" outlineLevel="0" collapsed="false">
      <c r="A25" s="12" t="s">
        <v>325</v>
      </c>
      <c r="B25" s="12"/>
      <c r="C25" s="13" t="s">
        <v>784</v>
      </c>
      <c r="D25" s="12" t="s">
        <v>767</v>
      </c>
      <c r="E25" s="14"/>
      <c r="F25" s="12" t="s">
        <v>785</v>
      </c>
      <c r="G25" s="17" t="s">
        <v>769</v>
      </c>
      <c r="H25" s="17" t="s">
        <v>770</v>
      </c>
      <c r="I25" s="17" t="s">
        <v>771</v>
      </c>
    </row>
    <row r="26" customFormat="false" ht="27" hidden="false" customHeight="true" outlineLevel="0" collapsed="false">
      <c r="A26" s="12" t="s">
        <v>328</v>
      </c>
      <c r="B26" s="12"/>
      <c r="C26" s="13" t="s">
        <v>786</v>
      </c>
      <c r="D26" s="12" t="s">
        <v>767</v>
      </c>
      <c r="E26" s="14"/>
      <c r="F26" s="12" t="s">
        <v>787</v>
      </c>
      <c r="G26" s="17" t="s">
        <v>769</v>
      </c>
      <c r="H26" s="17" t="s">
        <v>770</v>
      </c>
      <c r="I26" s="17" t="s">
        <v>771</v>
      </c>
    </row>
    <row r="28" customFormat="false" ht="14.2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</row>
    <row r="29" customFormat="false" ht="41.25" hidden="false" customHeight="true" outlineLevel="0" collapsed="false">
      <c r="A29" s="12" t="s">
        <v>335</v>
      </c>
      <c r="B29" s="12"/>
      <c r="C29" s="13" t="s">
        <v>788</v>
      </c>
      <c r="D29" s="12" t="s">
        <v>789</v>
      </c>
      <c r="E29" s="14"/>
      <c r="F29" s="12" t="s">
        <v>790</v>
      </c>
      <c r="G29" s="17" t="s">
        <v>791</v>
      </c>
      <c r="H29" s="17" t="s">
        <v>792</v>
      </c>
      <c r="I29" s="17" t="s">
        <v>793</v>
      </c>
    </row>
    <row r="30" customFormat="false" ht="41.25" hidden="false" customHeight="true" outlineLevel="0" collapsed="false">
      <c r="A30" s="12" t="s">
        <v>341</v>
      </c>
      <c r="B30" s="12"/>
      <c r="C30" s="13" t="s">
        <v>794</v>
      </c>
      <c r="D30" s="12" t="s">
        <v>789</v>
      </c>
      <c r="E30" s="14"/>
      <c r="F30" s="12" t="s">
        <v>502</v>
      </c>
      <c r="G30" s="17" t="s">
        <v>791</v>
      </c>
      <c r="H30" s="17" t="s">
        <v>792</v>
      </c>
      <c r="I30" s="17" t="s">
        <v>793</v>
      </c>
    </row>
    <row r="31" customFormat="false" ht="41.25" hidden="false" customHeight="true" outlineLevel="0" collapsed="false">
      <c r="A31" s="12" t="s">
        <v>344</v>
      </c>
      <c r="B31" s="12"/>
      <c r="C31" s="13" t="s">
        <v>795</v>
      </c>
      <c r="D31" s="12" t="s">
        <v>789</v>
      </c>
      <c r="E31" s="14"/>
      <c r="F31" s="12" t="s">
        <v>796</v>
      </c>
      <c r="G31" s="17" t="s">
        <v>791</v>
      </c>
      <c r="H31" s="17" t="s">
        <v>792</v>
      </c>
      <c r="I31" s="17" t="s">
        <v>793</v>
      </c>
    </row>
    <row r="32" customFormat="false" ht="41.25" hidden="false" customHeight="true" outlineLevel="0" collapsed="false">
      <c r="A32" s="12" t="s">
        <v>347</v>
      </c>
      <c r="B32" s="12"/>
      <c r="C32" s="13" t="s">
        <v>797</v>
      </c>
      <c r="D32" s="12" t="s">
        <v>798</v>
      </c>
      <c r="E32" s="14"/>
      <c r="F32" s="12" t="s">
        <v>799</v>
      </c>
      <c r="G32" s="17" t="s">
        <v>791</v>
      </c>
      <c r="H32" s="17" t="s">
        <v>792</v>
      </c>
      <c r="I32" s="17" t="s">
        <v>793</v>
      </c>
    </row>
    <row r="33" customFormat="false" ht="41.25" hidden="false" customHeight="true" outlineLevel="0" collapsed="false">
      <c r="A33" s="12" t="s">
        <v>351</v>
      </c>
      <c r="B33" s="12"/>
      <c r="C33" s="13" t="s">
        <v>800</v>
      </c>
      <c r="D33" s="12" t="s">
        <v>789</v>
      </c>
      <c r="E33" s="14"/>
      <c r="F33" s="12" t="s">
        <v>801</v>
      </c>
      <c r="G33" s="17" t="s">
        <v>791</v>
      </c>
      <c r="H33" s="17" t="s">
        <v>792</v>
      </c>
      <c r="I33" s="17" t="s">
        <v>793</v>
      </c>
    </row>
    <row r="34" customFormat="false" ht="41.25" hidden="false" customHeight="true" outlineLevel="0" collapsed="false">
      <c r="A34" s="12" t="s">
        <v>355</v>
      </c>
      <c r="B34" s="12"/>
      <c r="C34" s="13" t="s">
        <v>802</v>
      </c>
      <c r="D34" s="12" t="s">
        <v>803</v>
      </c>
      <c r="E34" s="14"/>
      <c r="F34" s="12" t="s">
        <v>804</v>
      </c>
      <c r="G34" s="17" t="s">
        <v>791</v>
      </c>
      <c r="H34" s="17" t="s">
        <v>792</v>
      </c>
      <c r="I34" s="17" t="s">
        <v>793</v>
      </c>
    </row>
    <row r="35" customFormat="false" ht="41.25" hidden="false" customHeight="true" outlineLevel="0" collapsed="false">
      <c r="A35" s="12" t="s">
        <v>358</v>
      </c>
      <c r="B35" s="12"/>
      <c r="C35" s="13" t="s">
        <v>805</v>
      </c>
      <c r="D35" s="12" t="s">
        <v>789</v>
      </c>
      <c r="E35" s="14"/>
      <c r="F35" s="12" t="s">
        <v>806</v>
      </c>
      <c r="G35" s="17" t="s">
        <v>791</v>
      </c>
      <c r="H35" s="17" t="s">
        <v>792</v>
      </c>
      <c r="I35" s="17" t="s">
        <v>793</v>
      </c>
    </row>
    <row r="36" customFormat="false" ht="41.25" hidden="false" customHeight="true" outlineLevel="0" collapsed="false">
      <c r="A36" s="12" t="s">
        <v>479</v>
      </c>
      <c r="B36" s="12"/>
      <c r="C36" s="13" t="s">
        <v>807</v>
      </c>
      <c r="D36" s="12" t="s">
        <v>789</v>
      </c>
      <c r="E36" s="14"/>
      <c r="F36" s="12" t="s">
        <v>808</v>
      </c>
      <c r="G36" s="17" t="s">
        <v>791</v>
      </c>
      <c r="H36" s="17" t="s">
        <v>792</v>
      </c>
      <c r="I36" s="17" t="s">
        <v>793</v>
      </c>
    </row>
    <row r="37" customFormat="false" ht="41.25" hidden="false" customHeight="true" outlineLevel="0" collapsed="false">
      <c r="A37" s="12" t="s">
        <v>482</v>
      </c>
      <c r="B37" s="12"/>
      <c r="C37" s="13" t="s">
        <v>809</v>
      </c>
      <c r="D37" s="12" t="s">
        <v>789</v>
      </c>
      <c r="E37" s="14"/>
      <c r="F37" s="12" t="s">
        <v>810</v>
      </c>
      <c r="G37" s="17" t="s">
        <v>791</v>
      </c>
      <c r="H37" s="17" t="s">
        <v>792</v>
      </c>
      <c r="I37" s="17" t="s">
        <v>793</v>
      </c>
    </row>
    <row r="38" customFormat="false" ht="41.25" hidden="false" customHeight="true" outlineLevel="0" collapsed="false">
      <c r="A38" s="12" t="s">
        <v>485</v>
      </c>
      <c r="B38" s="12"/>
      <c r="C38" s="13" t="s">
        <v>811</v>
      </c>
      <c r="D38" s="12" t="s">
        <v>789</v>
      </c>
      <c r="E38" s="14"/>
      <c r="F38" s="12" t="s">
        <v>812</v>
      </c>
      <c r="G38" s="17" t="s">
        <v>791</v>
      </c>
      <c r="H38" s="17" t="s">
        <v>792</v>
      </c>
      <c r="I38" s="17" t="s">
        <v>793</v>
      </c>
    </row>
    <row r="40" customFormat="false" ht="14.2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</row>
    <row r="41" customFormat="false" ht="41.25" hidden="false" customHeight="true" outlineLevel="0" collapsed="false">
      <c r="A41" s="12" t="s">
        <v>361</v>
      </c>
      <c r="B41" s="12"/>
      <c r="C41" s="13" t="s">
        <v>813</v>
      </c>
      <c r="D41" s="12" t="s">
        <v>814</v>
      </c>
      <c r="E41" s="14"/>
      <c r="F41" s="12" t="s">
        <v>815</v>
      </c>
      <c r="G41" s="17" t="s">
        <v>816</v>
      </c>
      <c r="H41" s="17" t="s">
        <v>817</v>
      </c>
      <c r="I41" s="17" t="s">
        <v>771</v>
      </c>
    </row>
    <row r="42" customFormat="false" ht="41.25" hidden="false" customHeight="true" outlineLevel="0" collapsed="false">
      <c r="A42" s="12" t="s">
        <v>368</v>
      </c>
      <c r="B42" s="12"/>
      <c r="C42" s="13" t="s">
        <v>818</v>
      </c>
      <c r="D42" s="12" t="s">
        <v>814</v>
      </c>
      <c r="E42" s="14"/>
      <c r="F42" s="12" t="s">
        <v>819</v>
      </c>
      <c r="G42" s="17" t="s">
        <v>816</v>
      </c>
      <c r="H42" s="17" t="s">
        <v>817</v>
      </c>
      <c r="I42" s="17" t="s">
        <v>771</v>
      </c>
    </row>
    <row r="43" customFormat="false" ht="41.25" hidden="false" customHeight="true" outlineLevel="0" collapsed="false">
      <c r="A43" s="12" t="s">
        <v>371</v>
      </c>
      <c r="B43" s="12"/>
      <c r="C43" s="13" t="s">
        <v>820</v>
      </c>
      <c r="D43" s="12" t="s">
        <v>814</v>
      </c>
      <c r="E43" s="14"/>
      <c r="F43" s="12" t="s">
        <v>821</v>
      </c>
      <c r="G43" s="17" t="s">
        <v>816</v>
      </c>
      <c r="H43" s="17" t="s">
        <v>817</v>
      </c>
      <c r="I43" s="17" t="s">
        <v>771</v>
      </c>
    </row>
    <row r="44" customFormat="false" ht="41.25" hidden="false" customHeight="true" outlineLevel="0" collapsed="false">
      <c r="A44" s="12" t="s">
        <v>375</v>
      </c>
      <c r="B44" s="12"/>
      <c r="C44" s="13" t="s">
        <v>822</v>
      </c>
      <c r="D44" s="12" t="s">
        <v>814</v>
      </c>
      <c r="E44" s="14"/>
      <c r="F44" s="12" t="s">
        <v>823</v>
      </c>
      <c r="G44" s="17" t="s">
        <v>816</v>
      </c>
      <c r="H44" s="17" t="s">
        <v>817</v>
      </c>
      <c r="I44" s="17" t="s">
        <v>771</v>
      </c>
    </row>
    <row r="45" customFormat="false" ht="27" hidden="false" customHeight="true" outlineLevel="0" collapsed="false">
      <c r="A45" s="12" t="s">
        <v>378</v>
      </c>
      <c r="B45" s="12"/>
      <c r="C45" s="13" t="s">
        <v>824</v>
      </c>
      <c r="D45" s="12" t="s">
        <v>814</v>
      </c>
      <c r="E45" s="14"/>
      <c r="F45" s="12" t="s">
        <v>825</v>
      </c>
      <c r="G45" s="17" t="s">
        <v>816</v>
      </c>
      <c r="H45" s="17" t="s">
        <v>817</v>
      </c>
      <c r="I45" s="17" t="s">
        <v>771</v>
      </c>
    </row>
    <row r="46" customFormat="false" ht="41.25" hidden="false" customHeight="true" outlineLevel="0" collapsed="false">
      <c r="A46" s="12" t="s">
        <v>382</v>
      </c>
      <c r="B46" s="12"/>
      <c r="C46" s="13" t="s">
        <v>826</v>
      </c>
      <c r="D46" s="12" t="s">
        <v>814</v>
      </c>
      <c r="E46" s="14"/>
      <c r="F46" s="12" t="s">
        <v>827</v>
      </c>
      <c r="G46" s="17" t="s">
        <v>816</v>
      </c>
      <c r="H46" s="17" t="s">
        <v>817</v>
      </c>
      <c r="I46" s="17" t="s">
        <v>771</v>
      </c>
    </row>
    <row r="47" customFormat="false" ht="41.25" hidden="false" customHeight="true" outlineLevel="0" collapsed="false">
      <c r="A47" s="12" t="s">
        <v>385</v>
      </c>
      <c r="B47" s="12"/>
      <c r="C47" s="13" t="s">
        <v>828</v>
      </c>
      <c r="D47" s="12" t="s">
        <v>814</v>
      </c>
      <c r="E47" s="14"/>
      <c r="F47" s="12" t="s">
        <v>829</v>
      </c>
      <c r="G47" s="17" t="s">
        <v>816</v>
      </c>
      <c r="H47" s="17" t="s">
        <v>817</v>
      </c>
      <c r="I47" s="17" t="s">
        <v>771</v>
      </c>
    </row>
    <row r="48" customFormat="false" ht="41.25" hidden="false" customHeight="true" outlineLevel="0" collapsed="false">
      <c r="A48" s="12" t="s">
        <v>388</v>
      </c>
      <c r="B48" s="12"/>
      <c r="C48" s="13" t="s">
        <v>830</v>
      </c>
      <c r="D48" s="12" t="s">
        <v>814</v>
      </c>
      <c r="E48" s="14"/>
      <c r="F48" s="12" t="s">
        <v>831</v>
      </c>
      <c r="G48" s="17" t="s">
        <v>816</v>
      </c>
      <c r="H48" s="17" t="s">
        <v>817</v>
      </c>
      <c r="I48" s="17" t="s">
        <v>771</v>
      </c>
    </row>
    <row r="49" customFormat="false" ht="41.25" hidden="false" customHeight="true" outlineLevel="0" collapsed="false">
      <c r="A49" s="12" t="s">
        <v>391</v>
      </c>
      <c r="B49" s="12"/>
      <c r="C49" s="13" t="s">
        <v>832</v>
      </c>
      <c r="D49" s="12" t="s">
        <v>814</v>
      </c>
      <c r="E49" s="14"/>
      <c r="F49" s="12" t="s">
        <v>833</v>
      </c>
      <c r="G49" s="17" t="s">
        <v>816</v>
      </c>
      <c r="H49" s="17" t="s">
        <v>817</v>
      </c>
      <c r="I49" s="17" t="s">
        <v>771</v>
      </c>
    </row>
    <row r="50" customFormat="false" ht="41.25" hidden="false" customHeight="true" outlineLevel="0" collapsed="false">
      <c r="A50" s="12" t="s">
        <v>394</v>
      </c>
      <c r="B50" s="12"/>
      <c r="C50" s="13" t="s">
        <v>834</v>
      </c>
      <c r="D50" s="12" t="s">
        <v>814</v>
      </c>
      <c r="E50" s="14"/>
      <c r="F50" s="12" t="s">
        <v>835</v>
      </c>
      <c r="G50" s="17" t="s">
        <v>816</v>
      </c>
      <c r="H50" s="17" t="s">
        <v>817</v>
      </c>
      <c r="I50" s="17" t="s">
        <v>771</v>
      </c>
    </row>
    <row r="51" customFormat="false" ht="41.25" hidden="false" customHeight="true" outlineLevel="0" collapsed="false">
      <c r="A51" s="12" t="s">
        <v>836</v>
      </c>
      <c r="B51" s="12"/>
      <c r="C51" s="13" t="s">
        <v>837</v>
      </c>
      <c r="D51" s="12" t="s">
        <v>814</v>
      </c>
      <c r="E51" s="14"/>
      <c r="F51" s="12" t="s">
        <v>838</v>
      </c>
      <c r="G51" s="17" t="s">
        <v>816</v>
      </c>
      <c r="H51" s="17" t="s">
        <v>817</v>
      </c>
      <c r="I51" s="17" t="s">
        <v>771</v>
      </c>
    </row>
    <row r="52" customFormat="false" ht="41.25" hidden="false" customHeight="true" outlineLevel="0" collapsed="false">
      <c r="A52" s="12" t="s">
        <v>839</v>
      </c>
      <c r="B52" s="12"/>
      <c r="C52" s="13" t="s">
        <v>840</v>
      </c>
      <c r="D52" s="12" t="s">
        <v>814</v>
      </c>
      <c r="E52" s="14"/>
      <c r="F52" s="12" t="s">
        <v>841</v>
      </c>
      <c r="G52" s="17" t="s">
        <v>816</v>
      </c>
      <c r="H52" s="17" t="s">
        <v>817</v>
      </c>
      <c r="I52" s="17" t="s">
        <v>771</v>
      </c>
    </row>
    <row r="54" customFormat="false" ht="14.25" hidden="false" customHeight="true" outlineLevel="0" collapsed="false">
      <c r="A54" s="18"/>
      <c r="B54" s="18"/>
      <c r="C54" s="18"/>
      <c r="D54" s="18"/>
      <c r="E54" s="18"/>
      <c r="F54" s="18"/>
      <c r="G54" s="18"/>
      <c r="H54" s="18"/>
      <c r="I54" s="18"/>
    </row>
    <row r="55" customFormat="false" ht="41.25" hidden="false" customHeight="true" outlineLevel="0" collapsed="false">
      <c r="A55" s="19" t="s">
        <v>397</v>
      </c>
      <c r="B55" s="19"/>
      <c r="C55" s="20" t="s">
        <v>842</v>
      </c>
      <c r="D55" s="19" t="s">
        <v>843</v>
      </c>
      <c r="E55" s="21"/>
      <c r="F55" s="19" t="s">
        <v>844</v>
      </c>
      <c r="G55" s="17" t="s">
        <v>845</v>
      </c>
      <c r="H55" s="17" t="s">
        <v>846</v>
      </c>
      <c r="I55" s="17" t="s">
        <v>514</v>
      </c>
    </row>
    <row r="56" customFormat="false" ht="41.25" hidden="false" customHeight="true" outlineLevel="0" collapsed="false">
      <c r="A56" s="19" t="s">
        <v>404</v>
      </c>
      <c r="B56" s="19"/>
      <c r="C56" s="20" t="s">
        <v>847</v>
      </c>
      <c r="D56" s="19" t="s">
        <v>843</v>
      </c>
      <c r="E56" s="21"/>
      <c r="F56" s="19" t="s">
        <v>848</v>
      </c>
      <c r="G56" s="17" t="s">
        <v>845</v>
      </c>
      <c r="H56" s="17" t="s">
        <v>846</v>
      </c>
      <c r="I56" s="17" t="s">
        <v>514</v>
      </c>
    </row>
    <row r="57" customFormat="false" ht="41.25" hidden="false" customHeight="true" outlineLevel="0" collapsed="false">
      <c r="A57" s="19" t="s">
        <v>407</v>
      </c>
      <c r="B57" s="19"/>
      <c r="C57" s="20" t="s">
        <v>849</v>
      </c>
      <c r="D57" s="19" t="s">
        <v>850</v>
      </c>
      <c r="E57" s="21"/>
      <c r="F57" s="19" t="s">
        <v>851</v>
      </c>
      <c r="G57" s="17" t="s">
        <v>845</v>
      </c>
      <c r="H57" s="17" t="s">
        <v>846</v>
      </c>
      <c r="I57" s="17" t="s">
        <v>514</v>
      </c>
    </row>
    <row r="58" customFormat="false" ht="41.25" hidden="false" customHeight="true" outlineLevel="0" collapsed="false">
      <c r="A58" s="19" t="s">
        <v>411</v>
      </c>
      <c r="B58" s="19"/>
      <c r="C58" s="20" t="s">
        <v>852</v>
      </c>
      <c r="D58" s="19" t="s">
        <v>843</v>
      </c>
      <c r="E58" s="21"/>
      <c r="F58" s="19" t="s">
        <v>853</v>
      </c>
      <c r="G58" s="17" t="s">
        <v>845</v>
      </c>
      <c r="H58" s="17" t="s">
        <v>846</v>
      </c>
      <c r="I58" s="17" t="s">
        <v>514</v>
      </c>
    </row>
    <row r="59" customFormat="false" ht="41.25" hidden="false" customHeight="true" outlineLevel="0" collapsed="false">
      <c r="A59" s="19" t="s">
        <v>413</v>
      </c>
      <c r="B59" s="19"/>
      <c r="C59" s="20" t="s">
        <v>854</v>
      </c>
      <c r="D59" s="19" t="s">
        <v>843</v>
      </c>
      <c r="E59" s="21"/>
      <c r="F59" s="19" t="s">
        <v>855</v>
      </c>
      <c r="G59" s="17" t="s">
        <v>845</v>
      </c>
      <c r="H59" s="17" t="s">
        <v>846</v>
      </c>
      <c r="I59" s="17" t="s">
        <v>514</v>
      </c>
    </row>
    <row r="60" customFormat="false" ht="41.25" hidden="false" customHeight="true" outlineLevel="0" collapsed="false">
      <c r="A60" s="19" t="s">
        <v>610</v>
      </c>
      <c r="B60" s="19"/>
      <c r="C60" s="20" t="s">
        <v>856</v>
      </c>
      <c r="D60" s="19" t="s">
        <v>857</v>
      </c>
      <c r="E60" s="21"/>
      <c r="F60" s="19" t="s">
        <v>858</v>
      </c>
      <c r="G60" s="17" t="s">
        <v>845</v>
      </c>
      <c r="H60" s="17" t="s">
        <v>846</v>
      </c>
      <c r="I60" s="17" t="s">
        <v>514</v>
      </c>
    </row>
    <row r="61" customFormat="false" ht="41.25" hidden="false" customHeight="true" outlineLevel="0" collapsed="false">
      <c r="A61" s="19" t="s">
        <v>614</v>
      </c>
      <c r="B61" s="19"/>
      <c r="C61" s="20" t="s">
        <v>859</v>
      </c>
      <c r="D61" s="19" t="s">
        <v>843</v>
      </c>
      <c r="E61" s="21"/>
      <c r="F61" s="19" t="s">
        <v>860</v>
      </c>
      <c r="G61" s="17" t="s">
        <v>845</v>
      </c>
      <c r="H61" s="17" t="s">
        <v>846</v>
      </c>
      <c r="I61" s="17" t="s">
        <v>514</v>
      </c>
    </row>
    <row r="62" customFormat="false" ht="41.25" hidden="false" customHeight="true" outlineLevel="0" collapsed="false">
      <c r="A62" s="19" t="s">
        <v>618</v>
      </c>
      <c r="B62" s="19"/>
      <c r="C62" s="20" t="s">
        <v>861</v>
      </c>
      <c r="D62" s="19" t="s">
        <v>843</v>
      </c>
      <c r="E62" s="21"/>
      <c r="F62" s="19" t="s">
        <v>862</v>
      </c>
      <c r="G62" s="17" t="s">
        <v>845</v>
      </c>
      <c r="H62" s="17" t="s">
        <v>846</v>
      </c>
      <c r="I62" s="17" t="s">
        <v>514</v>
      </c>
    </row>
  </sheetData>
  <mergeCells count="7">
    <mergeCell ref="A1:I1"/>
    <mergeCell ref="A2:I2"/>
    <mergeCell ref="A5:I5"/>
    <mergeCell ref="A17:I17"/>
    <mergeCell ref="A28:I28"/>
    <mergeCell ref="A40:I40"/>
    <mergeCell ref="A54:I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50"/>
    <col collapsed="false" customWidth="true" hidden="false" outlineLevel="0" max="9" min="4" style="1" width="10"/>
    <col collapsed="false" customWidth="true" hidden="false" outlineLevel="0" max="10" min="10" style="1" width="25"/>
  </cols>
  <sheetData>
    <row r="1" customFormat="false" ht="18" hidden="false" customHeight="true" outlineLevel="0" collapsed="false">
      <c r="A1" s="8" t="s">
        <v>863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4.25" hidden="false" customHeight="true" outlineLevel="0" collapsed="false">
      <c r="A2" s="15" t="s">
        <v>864</v>
      </c>
      <c r="B2" s="15"/>
      <c r="C2" s="15"/>
      <c r="D2" s="15"/>
      <c r="E2" s="15"/>
      <c r="F2" s="15"/>
      <c r="G2" s="15"/>
      <c r="H2" s="15"/>
      <c r="I2" s="15"/>
      <c r="J2" s="15"/>
    </row>
    <row r="4" customFormat="false" ht="14.25" hidden="false" customHeight="true" outlineLevel="0" collapsed="false">
      <c r="A4" s="10" t="s">
        <v>58</v>
      </c>
      <c r="B4" s="10" t="s">
        <v>59</v>
      </c>
      <c r="C4" s="10" t="s">
        <v>865</v>
      </c>
      <c r="D4" s="10" t="s">
        <v>866</v>
      </c>
      <c r="E4" s="10" t="s">
        <v>867</v>
      </c>
      <c r="F4" s="10" t="s">
        <v>868</v>
      </c>
      <c r="G4" s="10" t="s">
        <v>869</v>
      </c>
      <c r="H4" s="10" t="s">
        <v>870</v>
      </c>
      <c r="I4" s="10" t="s">
        <v>63</v>
      </c>
      <c r="J4" s="10" t="s">
        <v>257</v>
      </c>
    </row>
    <row r="5" customFormat="false" ht="14.2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14.25" hidden="false" customHeight="true" outlineLevel="0" collapsed="false">
      <c r="A6" s="12" t="s">
        <v>64</v>
      </c>
      <c r="B6" s="12" t="s">
        <v>65</v>
      </c>
      <c r="C6" s="13" t="s">
        <v>871</v>
      </c>
      <c r="D6" s="22" t="s">
        <v>872</v>
      </c>
      <c r="E6" s="22" t="s">
        <v>872</v>
      </c>
      <c r="F6" s="22" t="s">
        <v>872</v>
      </c>
      <c r="G6" s="22" t="s">
        <v>872</v>
      </c>
      <c r="H6" s="22" t="s">
        <v>872</v>
      </c>
      <c r="I6" s="12"/>
      <c r="J6" s="12"/>
    </row>
    <row r="7" customFormat="false" ht="14.25" hidden="false" customHeight="true" outlineLevel="0" collapsed="false">
      <c r="A7" s="12" t="s">
        <v>69</v>
      </c>
      <c r="B7" s="12" t="s">
        <v>70</v>
      </c>
      <c r="C7" s="13" t="s">
        <v>873</v>
      </c>
      <c r="D7" s="22" t="s">
        <v>872</v>
      </c>
      <c r="E7" s="22" t="s">
        <v>872</v>
      </c>
      <c r="F7" s="22" t="s">
        <v>872</v>
      </c>
      <c r="G7" s="22" t="s">
        <v>872</v>
      </c>
      <c r="H7" s="22" t="s">
        <v>872</v>
      </c>
      <c r="I7" s="12"/>
      <c r="J7" s="12"/>
    </row>
    <row r="8" customFormat="false" ht="14.25" hidden="false" customHeight="true" outlineLevel="0" collapsed="false">
      <c r="A8" s="12" t="s">
        <v>74</v>
      </c>
      <c r="B8" s="12" t="s">
        <v>75</v>
      </c>
      <c r="C8" s="13" t="s">
        <v>874</v>
      </c>
      <c r="D8" s="22" t="s">
        <v>872</v>
      </c>
      <c r="E8" s="22" t="s">
        <v>872</v>
      </c>
      <c r="F8" s="22" t="s">
        <v>872</v>
      </c>
      <c r="G8" s="22" t="s">
        <v>872</v>
      </c>
      <c r="H8" s="22" t="s">
        <v>872</v>
      </c>
      <c r="I8" s="12"/>
      <c r="J8" s="12"/>
    </row>
    <row r="9" customFormat="false" ht="14.25" hidden="false" customHeight="true" outlineLevel="0" collapsed="false">
      <c r="A9" s="12" t="s">
        <v>79</v>
      </c>
      <c r="B9" s="12" t="s">
        <v>80</v>
      </c>
      <c r="C9" s="13" t="s">
        <v>875</v>
      </c>
      <c r="D9" s="22" t="s">
        <v>872</v>
      </c>
      <c r="E9" s="22" t="s">
        <v>872</v>
      </c>
      <c r="F9" s="22" t="s">
        <v>872</v>
      </c>
      <c r="G9" s="22" t="s">
        <v>872</v>
      </c>
      <c r="H9" s="22" t="s">
        <v>872</v>
      </c>
      <c r="I9" s="12"/>
      <c r="J9" s="12"/>
    </row>
    <row r="10" customFormat="false" ht="14.25" hidden="false" customHeight="true" outlineLevel="0" collapsed="false">
      <c r="A10" s="12" t="s">
        <v>83</v>
      </c>
      <c r="B10" s="12" t="s">
        <v>84</v>
      </c>
      <c r="C10" s="13" t="s">
        <v>876</v>
      </c>
      <c r="D10" s="22" t="s">
        <v>872</v>
      </c>
      <c r="E10" s="22" t="s">
        <v>872</v>
      </c>
      <c r="F10" s="22" t="s">
        <v>872</v>
      </c>
      <c r="G10" s="22" t="s">
        <v>872</v>
      </c>
      <c r="H10" s="22" t="s">
        <v>872</v>
      </c>
      <c r="I10" s="12"/>
      <c r="J10" s="12"/>
    </row>
    <row r="11" customFormat="false" ht="14.25" hidden="false" customHeight="true" outlineLevel="0" collapsed="false">
      <c r="A11" s="12" t="s">
        <v>88</v>
      </c>
      <c r="B11" s="12" t="s">
        <v>89</v>
      </c>
      <c r="C11" s="13" t="s">
        <v>877</v>
      </c>
      <c r="D11" s="22" t="s">
        <v>872</v>
      </c>
      <c r="E11" s="22" t="s">
        <v>872</v>
      </c>
      <c r="F11" s="22" t="s">
        <v>872</v>
      </c>
      <c r="G11" s="22" t="s">
        <v>872</v>
      </c>
      <c r="H11" s="22" t="s">
        <v>872</v>
      </c>
      <c r="I11" s="12"/>
      <c r="J11" s="12"/>
    </row>
    <row r="12" customFormat="false" ht="14.25" hidden="false" customHeight="true" outlineLevel="0" collapsed="false">
      <c r="A12" s="12" t="s">
        <v>93</v>
      </c>
      <c r="B12" s="12" t="s">
        <v>94</v>
      </c>
      <c r="C12" s="13" t="s">
        <v>878</v>
      </c>
      <c r="D12" s="22" t="s">
        <v>872</v>
      </c>
      <c r="E12" s="22" t="s">
        <v>872</v>
      </c>
      <c r="F12" s="22" t="s">
        <v>872</v>
      </c>
      <c r="G12" s="22" t="s">
        <v>872</v>
      </c>
      <c r="H12" s="22" t="s">
        <v>872</v>
      </c>
      <c r="I12" s="12"/>
      <c r="J12" s="12"/>
    </row>
    <row r="14" customFormat="false" ht="14.2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4.25" hidden="false" customHeight="true" outlineLevel="0" collapsed="false">
      <c r="A15" s="12" t="s">
        <v>98</v>
      </c>
      <c r="B15" s="12" t="s">
        <v>112</v>
      </c>
      <c r="C15" s="13" t="s">
        <v>879</v>
      </c>
      <c r="D15" s="22" t="s">
        <v>872</v>
      </c>
      <c r="E15" s="23" t="s">
        <v>880</v>
      </c>
      <c r="F15" s="22" t="s">
        <v>872</v>
      </c>
      <c r="G15" s="22" t="s">
        <v>872</v>
      </c>
      <c r="H15" s="22" t="s">
        <v>872</v>
      </c>
      <c r="I15" s="12"/>
      <c r="J15" s="12"/>
    </row>
    <row r="16" customFormat="false" ht="14.25" hidden="false" customHeight="true" outlineLevel="0" collapsed="false">
      <c r="A16" s="12" t="s">
        <v>103</v>
      </c>
      <c r="B16" s="12" t="s">
        <v>117</v>
      </c>
      <c r="C16" s="13" t="s">
        <v>881</v>
      </c>
      <c r="D16" s="22" t="s">
        <v>872</v>
      </c>
      <c r="E16" s="23" t="s">
        <v>880</v>
      </c>
      <c r="F16" s="23" t="s">
        <v>880</v>
      </c>
      <c r="G16" s="23" t="s">
        <v>880</v>
      </c>
      <c r="H16" s="22" t="s">
        <v>872</v>
      </c>
      <c r="I16" s="12"/>
      <c r="J16" s="12"/>
    </row>
    <row r="17" customFormat="false" ht="14.25" hidden="false" customHeight="true" outlineLevel="0" collapsed="false">
      <c r="A17" s="12" t="s">
        <v>107</v>
      </c>
      <c r="B17" s="12" t="s">
        <v>121</v>
      </c>
      <c r="C17" s="13" t="s">
        <v>882</v>
      </c>
      <c r="D17" s="22" t="s">
        <v>872</v>
      </c>
      <c r="E17" s="23" t="s">
        <v>880</v>
      </c>
      <c r="F17" s="23" t="s">
        <v>880</v>
      </c>
      <c r="G17" s="23" t="s">
        <v>880</v>
      </c>
      <c r="H17" s="22" t="s">
        <v>872</v>
      </c>
      <c r="I17" s="12"/>
      <c r="J17" s="12"/>
    </row>
    <row r="18" customFormat="false" ht="14.25" hidden="false" customHeight="true" outlineLevel="0" collapsed="false">
      <c r="A18" s="12" t="s">
        <v>111</v>
      </c>
      <c r="B18" s="12" t="s">
        <v>125</v>
      </c>
      <c r="C18" s="13" t="s">
        <v>883</v>
      </c>
      <c r="D18" s="22" t="s">
        <v>872</v>
      </c>
      <c r="E18" s="23" t="s">
        <v>880</v>
      </c>
      <c r="F18" s="23" t="s">
        <v>880</v>
      </c>
      <c r="G18" s="23" t="s">
        <v>880</v>
      </c>
      <c r="H18" s="22" t="s">
        <v>872</v>
      </c>
      <c r="I18" s="12"/>
      <c r="J18" s="12"/>
    </row>
    <row r="19" customFormat="false" ht="14.25" hidden="false" customHeight="true" outlineLevel="0" collapsed="false">
      <c r="A19" s="12" t="s">
        <v>116</v>
      </c>
      <c r="B19" s="12" t="s">
        <v>129</v>
      </c>
      <c r="C19" s="13" t="s">
        <v>884</v>
      </c>
      <c r="D19" s="22" t="s">
        <v>872</v>
      </c>
      <c r="E19" s="23" t="s">
        <v>880</v>
      </c>
      <c r="F19" s="23" t="s">
        <v>880</v>
      </c>
      <c r="G19" s="23" t="s">
        <v>880</v>
      </c>
      <c r="H19" s="22" t="s">
        <v>872</v>
      </c>
      <c r="I19" s="12"/>
      <c r="J19" s="12"/>
    </row>
    <row r="20" customFormat="false" ht="14.25" hidden="false" customHeight="true" outlineLevel="0" collapsed="false">
      <c r="A20" s="12" t="s">
        <v>120</v>
      </c>
      <c r="B20" s="12" t="s">
        <v>132</v>
      </c>
      <c r="C20" s="13" t="s">
        <v>885</v>
      </c>
      <c r="D20" s="23" t="s">
        <v>880</v>
      </c>
      <c r="E20" s="22" t="s">
        <v>872</v>
      </c>
      <c r="F20" s="23" t="s">
        <v>880</v>
      </c>
      <c r="G20" s="23" t="s">
        <v>880</v>
      </c>
      <c r="H20" s="22" t="s">
        <v>872</v>
      </c>
      <c r="I20" s="12"/>
      <c r="J20" s="12"/>
    </row>
    <row r="21" customFormat="false" ht="14.25" hidden="false" customHeight="true" outlineLevel="0" collapsed="false">
      <c r="A21" s="12" t="s">
        <v>124</v>
      </c>
      <c r="B21" s="12" t="s">
        <v>136</v>
      </c>
      <c r="C21" s="13" t="s">
        <v>886</v>
      </c>
      <c r="D21" s="23" t="s">
        <v>880</v>
      </c>
      <c r="E21" s="22" t="s">
        <v>872</v>
      </c>
      <c r="F21" s="23" t="s">
        <v>880</v>
      </c>
      <c r="G21" s="23" t="s">
        <v>880</v>
      </c>
      <c r="H21" s="22" t="s">
        <v>872</v>
      </c>
      <c r="I21" s="12"/>
      <c r="J21" s="12"/>
    </row>
    <row r="22" customFormat="false" ht="14.25" hidden="false" customHeight="true" outlineLevel="0" collapsed="false">
      <c r="A22" s="12" t="s">
        <v>128</v>
      </c>
      <c r="B22" s="12" t="s">
        <v>139</v>
      </c>
      <c r="C22" s="13" t="s">
        <v>887</v>
      </c>
      <c r="D22" s="23" t="s">
        <v>880</v>
      </c>
      <c r="E22" s="22" t="s">
        <v>872</v>
      </c>
      <c r="F22" s="22" t="s">
        <v>872</v>
      </c>
      <c r="G22" s="22" t="s">
        <v>872</v>
      </c>
      <c r="H22" s="22" t="s">
        <v>872</v>
      </c>
      <c r="I22" s="12"/>
      <c r="J22" s="12"/>
    </row>
    <row r="23" customFormat="false" ht="14.25" hidden="false" customHeight="true" outlineLevel="0" collapsed="false">
      <c r="A23" s="12" t="s">
        <v>131</v>
      </c>
      <c r="B23" s="12" t="s">
        <v>144</v>
      </c>
      <c r="C23" s="13" t="s">
        <v>888</v>
      </c>
      <c r="D23" s="23" t="s">
        <v>880</v>
      </c>
      <c r="E23" s="23" t="s">
        <v>880</v>
      </c>
      <c r="F23" s="22" t="s">
        <v>872</v>
      </c>
      <c r="G23" s="23" t="s">
        <v>880</v>
      </c>
      <c r="H23" s="22" t="s">
        <v>872</v>
      </c>
      <c r="I23" s="12"/>
      <c r="J23" s="12"/>
    </row>
    <row r="24" customFormat="false" ht="14.25" hidden="false" customHeight="true" outlineLevel="0" collapsed="false">
      <c r="A24" s="12" t="s">
        <v>135</v>
      </c>
      <c r="B24" s="12" t="s">
        <v>147</v>
      </c>
      <c r="C24" s="13" t="s">
        <v>889</v>
      </c>
      <c r="D24" s="23" t="s">
        <v>880</v>
      </c>
      <c r="E24" s="23" t="s">
        <v>880</v>
      </c>
      <c r="F24" s="22" t="s">
        <v>872</v>
      </c>
      <c r="G24" s="23" t="s">
        <v>880</v>
      </c>
      <c r="H24" s="22" t="s">
        <v>872</v>
      </c>
      <c r="I24" s="12"/>
      <c r="J24" s="12"/>
    </row>
    <row r="25" customFormat="false" ht="14.25" hidden="false" customHeight="true" outlineLevel="0" collapsed="false">
      <c r="A25" s="12" t="s">
        <v>138</v>
      </c>
      <c r="B25" s="12" t="s">
        <v>151</v>
      </c>
      <c r="C25" s="13" t="s">
        <v>890</v>
      </c>
      <c r="D25" s="23" t="s">
        <v>880</v>
      </c>
      <c r="E25" s="23" t="s">
        <v>880</v>
      </c>
      <c r="F25" s="22" t="s">
        <v>872</v>
      </c>
      <c r="G25" s="23" t="s">
        <v>880</v>
      </c>
      <c r="H25" s="22" t="s">
        <v>872</v>
      </c>
      <c r="I25" s="12"/>
      <c r="J25" s="12"/>
    </row>
    <row r="26" customFormat="false" ht="14.25" hidden="false" customHeight="true" outlineLevel="0" collapsed="false">
      <c r="A26" s="12" t="s">
        <v>143</v>
      </c>
      <c r="B26" s="12" t="s">
        <v>155</v>
      </c>
      <c r="C26" s="13" t="s">
        <v>891</v>
      </c>
      <c r="D26" s="23" t="s">
        <v>880</v>
      </c>
      <c r="E26" s="23" t="s">
        <v>880</v>
      </c>
      <c r="F26" s="23" t="s">
        <v>880</v>
      </c>
      <c r="G26" s="22" t="s">
        <v>872</v>
      </c>
      <c r="H26" s="22" t="s">
        <v>872</v>
      </c>
      <c r="I26" s="12"/>
      <c r="J26" s="12"/>
    </row>
    <row r="27" customFormat="false" ht="14.25" hidden="false" customHeight="true" outlineLevel="0" collapsed="false">
      <c r="A27" s="12" t="s">
        <v>146</v>
      </c>
      <c r="B27" s="12" t="s">
        <v>158</v>
      </c>
      <c r="C27" s="13" t="s">
        <v>892</v>
      </c>
      <c r="D27" s="22" t="s">
        <v>872</v>
      </c>
      <c r="E27" s="23" t="s">
        <v>880</v>
      </c>
      <c r="F27" s="23" t="s">
        <v>880</v>
      </c>
      <c r="G27" s="22" t="s">
        <v>872</v>
      </c>
      <c r="H27" s="22" t="s">
        <v>872</v>
      </c>
      <c r="I27" s="12"/>
      <c r="J27" s="12"/>
    </row>
    <row r="28" customFormat="false" ht="14.25" hidden="false" customHeight="true" outlineLevel="0" collapsed="false">
      <c r="A28" s="12" t="s">
        <v>150</v>
      </c>
      <c r="B28" s="12" t="s">
        <v>893</v>
      </c>
      <c r="C28" s="13" t="s">
        <v>894</v>
      </c>
      <c r="D28" s="23" t="s">
        <v>880</v>
      </c>
      <c r="E28" s="23" t="s">
        <v>880</v>
      </c>
      <c r="F28" s="23" t="s">
        <v>880</v>
      </c>
      <c r="G28" s="22" t="s">
        <v>872</v>
      </c>
      <c r="H28" s="22" t="s">
        <v>872</v>
      </c>
      <c r="I28" s="12"/>
      <c r="J28" s="12"/>
    </row>
    <row r="29" customFormat="false" ht="14.25" hidden="false" customHeight="true" outlineLevel="0" collapsed="false">
      <c r="A29" s="12" t="s">
        <v>154</v>
      </c>
      <c r="B29" s="12" t="s">
        <v>895</v>
      </c>
      <c r="C29" s="13" t="s">
        <v>896</v>
      </c>
      <c r="D29" s="22" t="s">
        <v>872</v>
      </c>
      <c r="E29" s="22" t="s">
        <v>872</v>
      </c>
      <c r="F29" s="22" t="s">
        <v>872</v>
      </c>
      <c r="G29" s="22" t="s">
        <v>872</v>
      </c>
      <c r="H29" s="22" t="s">
        <v>872</v>
      </c>
      <c r="I29" s="12"/>
      <c r="J29" s="12"/>
    </row>
    <row r="30" customFormat="false" ht="14.25" hidden="false" customHeight="true" outlineLevel="0" collapsed="false">
      <c r="A30" s="12" t="s">
        <v>157</v>
      </c>
      <c r="B30" s="12" t="s">
        <v>897</v>
      </c>
      <c r="C30" s="13" t="s">
        <v>898</v>
      </c>
      <c r="D30" s="22" t="s">
        <v>872</v>
      </c>
      <c r="E30" s="22" t="s">
        <v>872</v>
      </c>
      <c r="F30" s="22" t="s">
        <v>872</v>
      </c>
      <c r="G30" s="22" t="s">
        <v>872</v>
      </c>
      <c r="H30" s="22" t="s">
        <v>872</v>
      </c>
      <c r="I30" s="12"/>
      <c r="J30" s="12"/>
    </row>
    <row r="31" customFormat="false" ht="14.25" hidden="false" customHeight="true" outlineLevel="0" collapsed="false">
      <c r="A31" s="12" t="s">
        <v>161</v>
      </c>
      <c r="B31" s="12" t="s">
        <v>899</v>
      </c>
      <c r="C31" s="13" t="s">
        <v>900</v>
      </c>
      <c r="D31" s="23" t="s">
        <v>880</v>
      </c>
      <c r="E31" s="23" t="s">
        <v>880</v>
      </c>
      <c r="F31" s="22" t="s">
        <v>872</v>
      </c>
      <c r="G31" s="23" t="s">
        <v>880</v>
      </c>
      <c r="H31" s="22" t="s">
        <v>872</v>
      </c>
      <c r="I31" s="12"/>
      <c r="J31" s="12"/>
    </row>
    <row r="32" customFormat="false" ht="14.25" hidden="false" customHeight="true" outlineLevel="0" collapsed="false">
      <c r="A32" s="12" t="s">
        <v>166</v>
      </c>
      <c r="B32" s="12" t="s">
        <v>901</v>
      </c>
      <c r="C32" s="13" t="s">
        <v>298</v>
      </c>
      <c r="D32" s="22" t="s">
        <v>872</v>
      </c>
      <c r="E32" s="23" t="s">
        <v>880</v>
      </c>
      <c r="F32" s="23" t="s">
        <v>880</v>
      </c>
      <c r="G32" s="22" t="s">
        <v>872</v>
      </c>
      <c r="H32" s="22" t="s">
        <v>872</v>
      </c>
      <c r="I32" s="12"/>
      <c r="J32" s="12"/>
    </row>
    <row r="34" customFormat="false" ht="14.2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4.25" hidden="false" customHeight="true" outlineLevel="0" collapsed="false">
      <c r="A35" s="12" t="s">
        <v>170</v>
      </c>
      <c r="B35" s="12" t="s">
        <v>162</v>
      </c>
      <c r="C35" s="13" t="s">
        <v>902</v>
      </c>
      <c r="D35" s="22" t="s">
        <v>872</v>
      </c>
      <c r="E35" s="22" t="s">
        <v>872</v>
      </c>
      <c r="F35" s="22" t="s">
        <v>872</v>
      </c>
      <c r="G35" s="22" t="s">
        <v>872</v>
      </c>
      <c r="H35" s="22" t="s">
        <v>872</v>
      </c>
      <c r="I35" s="12"/>
      <c r="J35" s="12"/>
    </row>
    <row r="36" customFormat="false" ht="14.25" hidden="false" customHeight="true" outlineLevel="0" collapsed="false">
      <c r="A36" s="12" t="s">
        <v>174</v>
      </c>
      <c r="B36" s="12" t="s">
        <v>167</v>
      </c>
      <c r="C36" s="13" t="s">
        <v>903</v>
      </c>
      <c r="D36" s="22" t="s">
        <v>872</v>
      </c>
      <c r="E36" s="22" t="s">
        <v>872</v>
      </c>
      <c r="F36" s="22" t="s">
        <v>872</v>
      </c>
      <c r="G36" s="22" t="s">
        <v>872</v>
      </c>
      <c r="H36" s="22" t="s">
        <v>872</v>
      </c>
      <c r="I36" s="12"/>
      <c r="J36" s="12"/>
    </row>
    <row r="37" customFormat="false" ht="14.25" hidden="false" customHeight="true" outlineLevel="0" collapsed="false">
      <c r="A37" s="12" t="s">
        <v>179</v>
      </c>
      <c r="B37" s="12" t="s">
        <v>171</v>
      </c>
      <c r="C37" s="13" t="s">
        <v>904</v>
      </c>
      <c r="D37" s="22" t="s">
        <v>872</v>
      </c>
      <c r="E37" s="22" t="s">
        <v>872</v>
      </c>
      <c r="F37" s="22" t="s">
        <v>872</v>
      </c>
      <c r="G37" s="22" t="s">
        <v>872</v>
      </c>
      <c r="H37" s="22" t="s">
        <v>872</v>
      </c>
      <c r="I37" s="12"/>
      <c r="J37" s="12"/>
    </row>
    <row r="38" customFormat="false" ht="14.25" hidden="false" customHeight="true" outlineLevel="0" collapsed="false">
      <c r="A38" s="12" t="s">
        <v>183</v>
      </c>
      <c r="B38" s="12" t="s">
        <v>175</v>
      </c>
      <c r="C38" s="13" t="s">
        <v>905</v>
      </c>
      <c r="D38" s="22" t="s">
        <v>872</v>
      </c>
      <c r="E38" s="22" t="s">
        <v>872</v>
      </c>
      <c r="F38" s="23" t="s">
        <v>880</v>
      </c>
      <c r="G38" s="23" t="s">
        <v>880</v>
      </c>
      <c r="H38" s="22" t="s">
        <v>872</v>
      </c>
      <c r="I38" s="12"/>
      <c r="J38" s="12"/>
    </row>
    <row r="39" customFormat="false" ht="14.25" hidden="false" customHeight="true" outlineLevel="0" collapsed="false">
      <c r="A39" s="12" t="s">
        <v>187</v>
      </c>
      <c r="B39" s="12" t="s">
        <v>180</v>
      </c>
      <c r="C39" s="13" t="s">
        <v>906</v>
      </c>
      <c r="D39" s="23" t="s">
        <v>880</v>
      </c>
      <c r="E39" s="22" t="s">
        <v>872</v>
      </c>
      <c r="F39" s="23" t="s">
        <v>880</v>
      </c>
      <c r="G39" s="23" t="s">
        <v>880</v>
      </c>
      <c r="H39" s="14" t="s">
        <v>907</v>
      </c>
      <c r="I39" s="12"/>
      <c r="J39" s="12"/>
    </row>
    <row r="40" customFormat="false" ht="14.25" hidden="false" customHeight="true" outlineLevel="0" collapsed="false">
      <c r="A40" s="12" t="s">
        <v>190</v>
      </c>
      <c r="B40" s="12" t="s">
        <v>184</v>
      </c>
      <c r="C40" s="13" t="s">
        <v>908</v>
      </c>
      <c r="D40" s="22" t="s">
        <v>872</v>
      </c>
      <c r="E40" s="22" t="s">
        <v>872</v>
      </c>
      <c r="F40" s="22" t="s">
        <v>872</v>
      </c>
      <c r="G40" s="22" t="s">
        <v>872</v>
      </c>
      <c r="H40" s="22" t="s">
        <v>872</v>
      </c>
      <c r="I40" s="12"/>
      <c r="J40" s="12"/>
    </row>
    <row r="41" customFormat="false" ht="14.25" hidden="false" customHeight="true" outlineLevel="0" collapsed="false">
      <c r="A41" s="12" t="s">
        <v>194</v>
      </c>
      <c r="B41" s="12" t="s">
        <v>188</v>
      </c>
      <c r="C41" s="13" t="s">
        <v>909</v>
      </c>
      <c r="D41" s="22" t="s">
        <v>872</v>
      </c>
      <c r="E41" s="22" t="s">
        <v>872</v>
      </c>
      <c r="F41" s="22" t="s">
        <v>872</v>
      </c>
      <c r="G41" s="22" t="s">
        <v>872</v>
      </c>
      <c r="H41" s="22" t="s">
        <v>872</v>
      </c>
      <c r="I41" s="12"/>
      <c r="J41" s="12"/>
    </row>
    <row r="42" customFormat="false" ht="14.25" hidden="false" customHeight="true" outlineLevel="0" collapsed="false">
      <c r="A42" s="12" t="s">
        <v>198</v>
      </c>
      <c r="B42" s="12" t="s">
        <v>191</v>
      </c>
      <c r="C42" s="13" t="s">
        <v>910</v>
      </c>
      <c r="D42" s="22" t="s">
        <v>872</v>
      </c>
      <c r="E42" s="22" t="s">
        <v>872</v>
      </c>
      <c r="F42" s="22" t="s">
        <v>872</v>
      </c>
      <c r="G42" s="22" t="s">
        <v>872</v>
      </c>
      <c r="H42" s="22" t="s">
        <v>872</v>
      </c>
      <c r="I42" s="12"/>
      <c r="J42" s="12"/>
    </row>
    <row r="44" customFormat="false" ht="14.2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4.25" hidden="false" customHeight="true" outlineLevel="0" collapsed="false">
      <c r="A45" s="12" t="s">
        <v>202</v>
      </c>
      <c r="B45" s="12" t="s">
        <v>203</v>
      </c>
      <c r="C45" s="13" t="s">
        <v>911</v>
      </c>
      <c r="D45" s="22" t="s">
        <v>872</v>
      </c>
      <c r="E45" s="23" t="s">
        <v>880</v>
      </c>
      <c r="F45" s="22" t="s">
        <v>872</v>
      </c>
      <c r="G45" s="22" t="s">
        <v>872</v>
      </c>
      <c r="H45" s="22" t="s">
        <v>872</v>
      </c>
      <c r="I45" s="12"/>
      <c r="J45" s="12"/>
    </row>
    <row r="46" customFormat="false" ht="14.25" hidden="false" customHeight="true" outlineLevel="0" collapsed="false">
      <c r="A46" s="12" t="s">
        <v>206</v>
      </c>
      <c r="B46" s="12" t="s">
        <v>207</v>
      </c>
      <c r="C46" s="13" t="s">
        <v>912</v>
      </c>
      <c r="D46" s="22" t="s">
        <v>872</v>
      </c>
      <c r="E46" s="22" t="s">
        <v>872</v>
      </c>
      <c r="F46" s="22" t="s">
        <v>872</v>
      </c>
      <c r="G46" s="22" t="s">
        <v>872</v>
      </c>
      <c r="H46" s="22" t="s">
        <v>872</v>
      </c>
      <c r="I46" s="12"/>
      <c r="J46" s="12"/>
    </row>
    <row r="47" customFormat="false" ht="14.25" hidden="false" customHeight="true" outlineLevel="0" collapsed="false">
      <c r="A47" s="12" t="s">
        <v>211</v>
      </c>
      <c r="B47" s="12" t="s">
        <v>212</v>
      </c>
      <c r="C47" s="13" t="s">
        <v>913</v>
      </c>
      <c r="D47" s="23" t="s">
        <v>880</v>
      </c>
      <c r="E47" s="22" t="s">
        <v>872</v>
      </c>
      <c r="F47" s="23" t="s">
        <v>880</v>
      </c>
      <c r="G47" s="23" t="s">
        <v>880</v>
      </c>
      <c r="H47" s="22" t="s">
        <v>872</v>
      </c>
      <c r="I47" s="12"/>
      <c r="J47" s="12"/>
    </row>
    <row r="48" customFormat="false" ht="14.25" hidden="false" customHeight="true" outlineLevel="0" collapsed="false">
      <c r="A48" s="12" t="s">
        <v>214</v>
      </c>
      <c r="B48" s="12" t="s">
        <v>215</v>
      </c>
      <c r="C48" s="13" t="s">
        <v>914</v>
      </c>
      <c r="D48" s="23" t="s">
        <v>880</v>
      </c>
      <c r="E48" s="22" t="s">
        <v>872</v>
      </c>
      <c r="F48" s="23" t="s">
        <v>880</v>
      </c>
      <c r="G48" s="23" t="s">
        <v>880</v>
      </c>
      <c r="H48" s="22" t="s">
        <v>872</v>
      </c>
      <c r="I48" s="12"/>
      <c r="J48" s="12"/>
    </row>
    <row r="49" customFormat="false" ht="14.25" hidden="false" customHeight="true" outlineLevel="0" collapsed="false">
      <c r="A49" s="12" t="s">
        <v>218</v>
      </c>
      <c r="B49" s="12" t="s">
        <v>219</v>
      </c>
      <c r="C49" s="13" t="s">
        <v>915</v>
      </c>
      <c r="D49" s="22" t="s">
        <v>872</v>
      </c>
      <c r="E49" s="23" t="s">
        <v>880</v>
      </c>
      <c r="F49" s="23" t="s">
        <v>880</v>
      </c>
      <c r="G49" s="23" t="s">
        <v>880</v>
      </c>
      <c r="H49" s="22" t="s">
        <v>872</v>
      </c>
      <c r="I49" s="12"/>
      <c r="J49" s="12"/>
    </row>
    <row r="50" customFormat="false" ht="14.25" hidden="false" customHeight="true" outlineLevel="0" collapsed="false">
      <c r="A50" s="12" t="s">
        <v>222</v>
      </c>
      <c r="B50" s="12" t="s">
        <v>223</v>
      </c>
      <c r="C50" s="13" t="s">
        <v>916</v>
      </c>
      <c r="D50" s="22" t="s">
        <v>872</v>
      </c>
      <c r="E50" s="23" t="s">
        <v>880</v>
      </c>
      <c r="F50" s="23" t="s">
        <v>880</v>
      </c>
      <c r="G50" s="23" t="s">
        <v>880</v>
      </c>
      <c r="H50" s="22" t="s">
        <v>872</v>
      </c>
      <c r="I50" s="12"/>
      <c r="J50" s="12"/>
    </row>
    <row r="51" customFormat="false" ht="14.25" hidden="false" customHeight="true" outlineLevel="0" collapsed="false">
      <c r="A51" s="12" t="s">
        <v>226</v>
      </c>
      <c r="B51" s="12" t="s">
        <v>917</v>
      </c>
      <c r="C51" s="13" t="s">
        <v>918</v>
      </c>
      <c r="D51" s="22" t="s">
        <v>872</v>
      </c>
      <c r="E51" s="22" t="s">
        <v>872</v>
      </c>
      <c r="F51" s="22" t="s">
        <v>872</v>
      </c>
      <c r="G51" s="22" t="s">
        <v>872</v>
      </c>
      <c r="H51" s="22" t="s">
        <v>872</v>
      </c>
      <c r="I51" s="12"/>
      <c r="J51" s="12"/>
    </row>
    <row r="52" customFormat="false" ht="14.25" hidden="false" customHeight="true" outlineLevel="0" collapsed="false">
      <c r="A52" s="12" t="s">
        <v>231</v>
      </c>
      <c r="B52" s="12" t="s">
        <v>919</v>
      </c>
      <c r="C52" s="13" t="s">
        <v>920</v>
      </c>
      <c r="D52" s="23" t="s">
        <v>880</v>
      </c>
      <c r="E52" s="23" t="s">
        <v>880</v>
      </c>
      <c r="F52" s="22" t="s">
        <v>872</v>
      </c>
      <c r="G52" s="22" t="s">
        <v>872</v>
      </c>
      <c r="H52" s="22" t="s">
        <v>872</v>
      </c>
      <c r="I52" s="12"/>
      <c r="J52" s="12"/>
    </row>
    <row r="53" customFormat="false" ht="14.25" hidden="false" customHeight="true" outlineLevel="0" collapsed="false">
      <c r="A53" s="12" t="s">
        <v>235</v>
      </c>
      <c r="B53" s="12" t="s">
        <v>921</v>
      </c>
      <c r="C53" s="13" t="s">
        <v>922</v>
      </c>
      <c r="D53" s="22" t="s">
        <v>872</v>
      </c>
      <c r="E53" s="22" t="s">
        <v>872</v>
      </c>
      <c r="F53" s="22" t="s">
        <v>872</v>
      </c>
      <c r="G53" s="22" t="s">
        <v>872</v>
      </c>
      <c r="H53" s="22" t="s">
        <v>872</v>
      </c>
      <c r="I53" s="12"/>
      <c r="J53" s="12"/>
    </row>
    <row r="54" customFormat="false" ht="14.25" hidden="false" customHeight="true" outlineLevel="0" collapsed="false">
      <c r="A54" s="12" t="s">
        <v>239</v>
      </c>
      <c r="B54" s="12" t="s">
        <v>923</v>
      </c>
      <c r="C54" s="13" t="s">
        <v>924</v>
      </c>
      <c r="D54" s="23" t="s">
        <v>880</v>
      </c>
      <c r="E54" s="23" t="s">
        <v>880</v>
      </c>
      <c r="F54" s="23" t="s">
        <v>880</v>
      </c>
      <c r="G54" s="23" t="s">
        <v>880</v>
      </c>
      <c r="H54" s="22" t="s">
        <v>872</v>
      </c>
      <c r="I54" s="12"/>
      <c r="J54" s="12"/>
    </row>
    <row r="55" customFormat="false" ht="14.25" hidden="false" customHeight="true" outlineLevel="0" collapsed="false">
      <c r="A55" s="12" t="s">
        <v>243</v>
      </c>
      <c r="B55" s="12" t="s">
        <v>925</v>
      </c>
      <c r="C55" s="13" t="s">
        <v>926</v>
      </c>
      <c r="D55" s="23" t="s">
        <v>880</v>
      </c>
      <c r="E55" s="23" t="s">
        <v>880</v>
      </c>
      <c r="F55" s="22" t="s">
        <v>872</v>
      </c>
      <c r="G55" s="22" t="s">
        <v>872</v>
      </c>
      <c r="H55" s="22" t="s">
        <v>872</v>
      </c>
      <c r="I55" s="12"/>
      <c r="J55" s="12"/>
    </row>
    <row r="56" customFormat="false" ht="14.25" hidden="false" customHeight="true" outlineLevel="0" collapsed="false">
      <c r="A56" s="12" t="s">
        <v>247</v>
      </c>
      <c r="B56" s="12" t="s">
        <v>927</v>
      </c>
      <c r="C56" s="13" t="s">
        <v>928</v>
      </c>
      <c r="D56" s="22" t="s">
        <v>872</v>
      </c>
      <c r="E56" s="22" t="s">
        <v>872</v>
      </c>
      <c r="F56" s="22" t="s">
        <v>872</v>
      </c>
      <c r="G56" s="22" t="s">
        <v>872</v>
      </c>
      <c r="H56" s="22" t="s">
        <v>872</v>
      </c>
      <c r="I56" s="12"/>
      <c r="J56" s="12"/>
    </row>
    <row r="58" customFormat="false" ht="14.25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customFormat="false" ht="14.25" hidden="false" customHeight="true" outlineLevel="0" collapsed="false">
      <c r="A59" s="12" t="s">
        <v>929</v>
      </c>
      <c r="B59" s="12" t="s">
        <v>227</v>
      </c>
      <c r="C59" s="13" t="s">
        <v>930</v>
      </c>
      <c r="D59" s="22" t="s">
        <v>872</v>
      </c>
      <c r="E59" s="22" t="s">
        <v>872</v>
      </c>
      <c r="F59" s="22" t="s">
        <v>872</v>
      </c>
      <c r="G59" s="22" t="s">
        <v>872</v>
      </c>
      <c r="H59" s="22" t="s">
        <v>872</v>
      </c>
      <c r="I59" s="12"/>
      <c r="J59" s="12"/>
    </row>
    <row r="60" customFormat="false" ht="14.25" hidden="false" customHeight="true" outlineLevel="0" collapsed="false">
      <c r="A60" s="12" t="s">
        <v>931</v>
      </c>
      <c r="B60" s="12" t="s">
        <v>232</v>
      </c>
      <c r="C60" s="13" t="s">
        <v>932</v>
      </c>
      <c r="D60" s="22" t="s">
        <v>872</v>
      </c>
      <c r="E60" s="22" t="s">
        <v>872</v>
      </c>
      <c r="F60" s="22" t="s">
        <v>872</v>
      </c>
      <c r="G60" s="22" t="s">
        <v>872</v>
      </c>
      <c r="H60" s="22" t="s">
        <v>872</v>
      </c>
      <c r="I60" s="12"/>
      <c r="J60" s="12"/>
    </row>
    <row r="61" customFormat="false" ht="14.25" hidden="false" customHeight="true" outlineLevel="0" collapsed="false">
      <c r="A61" s="12" t="s">
        <v>933</v>
      </c>
      <c r="B61" s="12" t="s">
        <v>236</v>
      </c>
      <c r="C61" s="13" t="s">
        <v>934</v>
      </c>
      <c r="D61" s="22" t="s">
        <v>872</v>
      </c>
      <c r="E61" s="22" t="s">
        <v>872</v>
      </c>
      <c r="F61" s="22" t="s">
        <v>872</v>
      </c>
      <c r="G61" s="22" t="s">
        <v>872</v>
      </c>
      <c r="H61" s="22" t="s">
        <v>872</v>
      </c>
      <c r="I61" s="12"/>
      <c r="J61" s="12"/>
    </row>
    <row r="62" customFormat="false" ht="14.25" hidden="false" customHeight="true" outlineLevel="0" collapsed="false">
      <c r="A62" s="12" t="s">
        <v>935</v>
      </c>
      <c r="B62" s="12" t="s">
        <v>240</v>
      </c>
      <c r="C62" s="13" t="s">
        <v>936</v>
      </c>
      <c r="D62" s="22" t="s">
        <v>872</v>
      </c>
      <c r="E62" s="22" t="s">
        <v>872</v>
      </c>
      <c r="F62" s="22" t="s">
        <v>872</v>
      </c>
      <c r="G62" s="22" t="s">
        <v>872</v>
      </c>
      <c r="H62" s="22" t="s">
        <v>872</v>
      </c>
      <c r="I62" s="12"/>
      <c r="J62" s="12"/>
    </row>
    <row r="63" customFormat="false" ht="14.25" hidden="false" customHeight="true" outlineLevel="0" collapsed="false">
      <c r="A63" s="12" t="s">
        <v>937</v>
      </c>
      <c r="B63" s="12" t="s">
        <v>244</v>
      </c>
      <c r="C63" s="13" t="s">
        <v>245</v>
      </c>
      <c r="D63" s="22" t="s">
        <v>872</v>
      </c>
      <c r="E63" s="22" t="s">
        <v>872</v>
      </c>
      <c r="F63" s="22" t="s">
        <v>872</v>
      </c>
      <c r="G63" s="22" t="s">
        <v>872</v>
      </c>
      <c r="H63" s="22" t="s">
        <v>872</v>
      </c>
      <c r="I63" s="12"/>
      <c r="J63" s="12"/>
    </row>
    <row r="64" customFormat="false" ht="14.25" hidden="false" customHeight="true" outlineLevel="0" collapsed="false">
      <c r="A64" s="12" t="s">
        <v>938</v>
      </c>
      <c r="B64" s="12" t="s">
        <v>248</v>
      </c>
      <c r="C64" s="13" t="s">
        <v>939</v>
      </c>
      <c r="D64" s="22" t="s">
        <v>872</v>
      </c>
      <c r="E64" s="22" t="s">
        <v>872</v>
      </c>
      <c r="F64" s="22" t="s">
        <v>872</v>
      </c>
      <c r="G64" s="22" t="s">
        <v>872</v>
      </c>
      <c r="H64" s="22" t="s">
        <v>872</v>
      </c>
      <c r="I64" s="12"/>
      <c r="J64" s="12"/>
    </row>
  </sheetData>
  <mergeCells count="7">
    <mergeCell ref="A1:J1"/>
    <mergeCell ref="A2:J2"/>
    <mergeCell ref="A5:J5"/>
    <mergeCell ref="A14:J14"/>
    <mergeCell ref="A34:J34"/>
    <mergeCell ref="A44:J44"/>
    <mergeCell ref="A58:J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42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11" min="8" style="1" width="7"/>
    <col collapsed="false" customWidth="true" hidden="false" outlineLevel="0" max="13" min="12" style="1" width="9"/>
    <col collapsed="false" customWidth="true" hidden="false" outlineLevel="0" max="14" min="14" style="1" width="26"/>
  </cols>
  <sheetData>
    <row r="1" customFormat="false" ht="17.25" hidden="false" customHeight="true" outlineLevel="0" collapsed="false">
      <c r="A1" s="24" t="s">
        <v>940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customFormat="false" ht="15" hidden="false" customHeight="true" outlineLevel="0" collapsed="false">
      <c r="A2" s="25" t="s">
        <v>941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4" customFormat="false" ht="34.5" hidden="false" customHeight="true" outlineLevel="0" collapsed="false">
      <c r="A4" s="26" t="s">
        <v>58</v>
      </c>
      <c r="B4" s="26" t="s">
        <v>942</v>
      </c>
      <c r="C4" s="26" t="s">
        <v>59</v>
      </c>
      <c r="D4" s="26" t="s">
        <v>943</v>
      </c>
      <c r="E4" s="26" t="s">
        <v>944</v>
      </c>
      <c r="F4" s="26" t="s">
        <v>945</v>
      </c>
      <c r="G4" s="26" t="s">
        <v>61</v>
      </c>
      <c r="H4" s="26" t="s">
        <v>866</v>
      </c>
      <c r="I4" s="26" t="s">
        <v>867</v>
      </c>
      <c r="J4" s="26" t="s">
        <v>868</v>
      </c>
      <c r="K4" s="26" t="s">
        <v>869</v>
      </c>
      <c r="L4" s="26" t="s">
        <v>946</v>
      </c>
      <c r="M4" s="26" t="s">
        <v>870</v>
      </c>
      <c r="N4" s="26" t="s">
        <v>947</v>
      </c>
    </row>
    <row r="5" customFormat="false" ht="15" hidden="false" customHeight="true" outlineLevel="0" collapsed="false">
      <c r="A5" s="27" t="s">
        <v>948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customFormat="false" ht="20.25" hidden="false" customHeight="true" outlineLevel="0" collapsed="false">
      <c r="A6" s="28" t="n">
        <v>1</v>
      </c>
      <c r="B6" s="28" t="s">
        <v>949</v>
      </c>
      <c r="C6" s="28" t="s">
        <v>65</v>
      </c>
      <c r="D6" s="29" t="s">
        <v>66</v>
      </c>
      <c r="E6" s="28" t="n">
        <v>2</v>
      </c>
      <c r="F6" s="28" t="s">
        <v>880</v>
      </c>
      <c r="G6" s="29" t="s">
        <v>67</v>
      </c>
      <c r="H6" s="28" t="s">
        <v>872</v>
      </c>
      <c r="I6" s="28" t="s">
        <v>872</v>
      </c>
      <c r="J6" s="28" t="s">
        <v>872</v>
      </c>
      <c r="K6" s="28" t="s">
        <v>872</v>
      </c>
      <c r="L6" s="28" t="s">
        <v>872</v>
      </c>
      <c r="M6" s="28" t="s">
        <v>872</v>
      </c>
      <c r="N6" s="29" t="s">
        <v>68</v>
      </c>
    </row>
    <row r="7" customFormat="false" ht="20.25" hidden="false" customHeight="true" outlineLevel="0" collapsed="false">
      <c r="A7" s="28" t="n">
        <v>2</v>
      </c>
      <c r="B7" s="28" t="s">
        <v>949</v>
      </c>
      <c r="C7" s="28" t="s">
        <v>70</v>
      </c>
      <c r="D7" s="29" t="s">
        <v>71</v>
      </c>
      <c r="E7" s="28" t="n">
        <v>3</v>
      </c>
      <c r="F7" s="28" t="s">
        <v>65</v>
      </c>
      <c r="G7" s="29" t="s">
        <v>72</v>
      </c>
      <c r="H7" s="28" t="s">
        <v>872</v>
      </c>
      <c r="I7" s="28" t="s">
        <v>872</v>
      </c>
      <c r="J7" s="28" t="s">
        <v>872</v>
      </c>
      <c r="K7" s="28" t="s">
        <v>872</v>
      </c>
      <c r="L7" s="28" t="s">
        <v>872</v>
      </c>
      <c r="M7" s="28" t="s">
        <v>872</v>
      </c>
      <c r="N7" s="29" t="s">
        <v>950</v>
      </c>
    </row>
    <row r="8" customFormat="false" ht="20.25" hidden="false" customHeight="true" outlineLevel="0" collapsed="false">
      <c r="A8" s="28" t="n">
        <v>3</v>
      </c>
      <c r="B8" s="28" t="s">
        <v>949</v>
      </c>
      <c r="C8" s="28" t="s">
        <v>75</v>
      </c>
      <c r="D8" s="29" t="s">
        <v>76</v>
      </c>
      <c r="E8" s="28" t="n">
        <v>3</v>
      </c>
      <c r="F8" s="28" t="s">
        <v>70</v>
      </c>
      <c r="G8" s="29" t="s">
        <v>77</v>
      </c>
      <c r="H8" s="28" t="s">
        <v>872</v>
      </c>
      <c r="I8" s="28" t="s">
        <v>872</v>
      </c>
      <c r="J8" s="28" t="s">
        <v>872</v>
      </c>
      <c r="K8" s="28" t="s">
        <v>872</v>
      </c>
      <c r="L8" s="28" t="s">
        <v>872</v>
      </c>
      <c r="M8" s="28" t="s">
        <v>872</v>
      </c>
      <c r="N8" s="29" t="s">
        <v>78</v>
      </c>
    </row>
    <row r="9" customFormat="false" ht="20.25" hidden="false" customHeight="true" outlineLevel="0" collapsed="false">
      <c r="A9" s="28" t="n">
        <v>4</v>
      </c>
      <c r="B9" s="28" t="s">
        <v>949</v>
      </c>
      <c r="C9" s="28" t="s">
        <v>80</v>
      </c>
      <c r="D9" s="29" t="s">
        <v>81</v>
      </c>
      <c r="E9" s="28" t="n">
        <v>5</v>
      </c>
      <c r="F9" s="28" t="s">
        <v>75</v>
      </c>
      <c r="G9" s="29" t="s">
        <v>77</v>
      </c>
      <c r="H9" s="28" t="s">
        <v>872</v>
      </c>
      <c r="I9" s="28" t="s">
        <v>872</v>
      </c>
      <c r="J9" s="28" t="s">
        <v>872</v>
      </c>
      <c r="K9" s="28" t="s">
        <v>872</v>
      </c>
      <c r="L9" s="28" t="s">
        <v>872</v>
      </c>
      <c r="M9" s="28" t="s">
        <v>872</v>
      </c>
      <c r="N9" s="29" t="s">
        <v>82</v>
      </c>
    </row>
    <row r="10" customFormat="false" ht="15" hidden="false" customHeight="true" outlineLevel="0" collapsed="false">
      <c r="A10" s="28" t="n">
        <v>5</v>
      </c>
      <c r="B10" s="28" t="s">
        <v>949</v>
      </c>
      <c r="C10" s="28" t="s">
        <v>84</v>
      </c>
      <c r="D10" s="29" t="s">
        <v>85</v>
      </c>
      <c r="E10" s="28" t="n">
        <v>7</v>
      </c>
      <c r="F10" s="28" t="s">
        <v>80</v>
      </c>
      <c r="G10" s="29" t="s">
        <v>86</v>
      </c>
      <c r="H10" s="28" t="s">
        <v>872</v>
      </c>
      <c r="I10" s="28" t="s">
        <v>872</v>
      </c>
      <c r="J10" s="28" t="s">
        <v>872</v>
      </c>
      <c r="K10" s="28" t="s">
        <v>872</v>
      </c>
      <c r="L10" s="28" t="s">
        <v>872</v>
      </c>
      <c r="M10" s="28" t="s">
        <v>872</v>
      </c>
      <c r="N10" s="29" t="s">
        <v>87</v>
      </c>
    </row>
    <row r="11" customFormat="false" ht="15" hidden="false" customHeight="true" outlineLevel="0" collapsed="false">
      <c r="A11" s="28" t="n">
        <v>6</v>
      </c>
      <c r="B11" s="28" t="s">
        <v>949</v>
      </c>
      <c r="C11" s="28" t="s">
        <v>89</v>
      </c>
      <c r="D11" s="29" t="s">
        <v>90</v>
      </c>
      <c r="E11" s="28" t="n">
        <v>1</v>
      </c>
      <c r="F11" s="28" t="s">
        <v>84</v>
      </c>
      <c r="G11" s="29" t="s">
        <v>951</v>
      </c>
      <c r="H11" s="28" t="s">
        <v>872</v>
      </c>
      <c r="I11" s="28" t="s">
        <v>872</v>
      </c>
      <c r="J11" s="28" t="s">
        <v>872</v>
      </c>
      <c r="K11" s="28" t="s">
        <v>872</v>
      </c>
      <c r="L11" s="28" t="s">
        <v>872</v>
      </c>
      <c r="M11" s="28" t="s">
        <v>872</v>
      </c>
      <c r="N11" s="29" t="s">
        <v>952</v>
      </c>
    </row>
    <row r="12" customFormat="false" ht="15" hidden="false" customHeight="true" outlineLevel="0" collapsed="false">
      <c r="A12" s="28" t="n">
        <v>7</v>
      </c>
      <c r="B12" s="28" t="s">
        <v>949</v>
      </c>
      <c r="C12" s="28" t="s">
        <v>94</v>
      </c>
      <c r="D12" s="29" t="s">
        <v>95</v>
      </c>
      <c r="E12" s="28" t="n">
        <v>1</v>
      </c>
      <c r="F12" s="28" t="s">
        <v>89</v>
      </c>
      <c r="G12" s="29" t="s">
        <v>96</v>
      </c>
      <c r="H12" s="28" t="s">
        <v>872</v>
      </c>
      <c r="I12" s="28" t="s">
        <v>872</v>
      </c>
      <c r="J12" s="28" t="s">
        <v>872</v>
      </c>
      <c r="K12" s="28" t="s">
        <v>872</v>
      </c>
      <c r="L12" s="28" t="s">
        <v>872</v>
      </c>
      <c r="M12" s="28" t="s">
        <v>872</v>
      </c>
      <c r="N12" s="29" t="s">
        <v>97</v>
      </c>
    </row>
    <row r="13" customFormat="false" ht="15" hidden="false" customHeight="true" outlineLevel="0" collapsed="false">
      <c r="A13" s="28" t="n">
        <v>8</v>
      </c>
      <c r="B13" s="28" t="s">
        <v>949</v>
      </c>
      <c r="C13" s="28" t="s">
        <v>99</v>
      </c>
      <c r="D13" s="29" t="s">
        <v>100</v>
      </c>
      <c r="E13" s="28" t="n">
        <v>1</v>
      </c>
      <c r="F13" s="28" t="s">
        <v>94</v>
      </c>
      <c r="G13" s="29" t="s">
        <v>101</v>
      </c>
      <c r="H13" s="28" t="s">
        <v>872</v>
      </c>
      <c r="I13" s="28" t="s">
        <v>872</v>
      </c>
      <c r="J13" s="28" t="s">
        <v>872</v>
      </c>
      <c r="K13" s="28" t="s">
        <v>872</v>
      </c>
      <c r="L13" s="28" t="s">
        <v>872</v>
      </c>
      <c r="M13" s="28" t="s">
        <v>872</v>
      </c>
      <c r="N13" s="29" t="s">
        <v>102</v>
      </c>
    </row>
    <row r="14" customFormat="false" ht="20.25" hidden="false" customHeight="true" outlineLevel="0" collapsed="false">
      <c r="A14" s="28" t="n">
        <v>9</v>
      </c>
      <c r="B14" s="28" t="s">
        <v>949</v>
      </c>
      <c r="C14" s="28" t="s">
        <v>104</v>
      </c>
      <c r="D14" s="29" t="s">
        <v>105</v>
      </c>
      <c r="E14" s="28" t="n">
        <v>1</v>
      </c>
      <c r="F14" s="28" t="s">
        <v>99</v>
      </c>
      <c r="G14" s="29" t="s">
        <v>101</v>
      </c>
      <c r="H14" s="28" t="s">
        <v>872</v>
      </c>
      <c r="I14" s="28" t="s">
        <v>872</v>
      </c>
      <c r="J14" s="28" t="s">
        <v>872</v>
      </c>
      <c r="K14" s="28" t="s">
        <v>872</v>
      </c>
      <c r="L14" s="28" t="s">
        <v>872</v>
      </c>
      <c r="M14" s="28" t="s">
        <v>872</v>
      </c>
      <c r="N14" s="29" t="s">
        <v>106</v>
      </c>
    </row>
    <row r="15" customFormat="false" ht="15" hidden="false" customHeight="true" outlineLevel="0" collapsed="false">
      <c r="A15" s="28" t="n">
        <v>10</v>
      </c>
      <c r="B15" s="28" t="s">
        <v>949</v>
      </c>
      <c r="C15" s="28" t="s">
        <v>108</v>
      </c>
      <c r="D15" s="29" t="s">
        <v>109</v>
      </c>
      <c r="E15" s="28" t="n">
        <v>1</v>
      </c>
      <c r="F15" s="28" t="s">
        <v>104</v>
      </c>
      <c r="G15" s="29" t="s">
        <v>101</v>
      </c>
      <c r="H15" s="28" t="s">
        <v>872</v>
      </c>
      <c r="I15" s="28" t="s">
        <v>872</v>
      </c>
      <c r="J15" s="28" t="s">
        <v>872</v>
      </c>
      <c r="K15" s="28" t="s">
        <v>872</v>
      </c>
      <c r="L15" s="28" t="s">
        <v>872</v>
      </c>
      <c r="M15" s="28" t="s">
        <v>872</v>
      </c>
      <c r="N15" s="29" t="s">
        <v>110</v>
      </c>
    </row>
    <row r="16" customFormat="false" ht="15" hidden="false" customHeight="true" outlineLevel="0" collapsed="false">
      <c r="A16" s="30"/>
      <c r="B16" s="30"/>
      <c r="C16" s="30"/>
      <c r="D16" s="31" t="s">
        <v>953</v>
      </c>
      <c r="E16" s="32" t="n">
        <f aca="false">SUM(E6:E15)</f>
        <v>25</v>
      </c>
      <c r="F16" s="30"/>
      <c r="G16" s="30"/>
      <c r="H16" s="30"/>
      <c r="I16" s="30"/>
      <c r="J16" s="30"/>
      <c r="K16" s="30"/>
      <c r="L16" s="30"/>
      <c r="M16" s="30"/>
      <c r="N16" s="30"/>
    </row>
    <row r="18" customFormat="false" ht="15" hidden="false" customHeight="true" outlineLevel="0" collapsed="false">
      <c r="A18" s="27" t="s">
        <v>954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 customFormat="false" ht="20.25" hidden="false" customHeight="true" outlineLevel="0" collapsed="false">
      <c r="A19" s="28" t="n">
        <v>11</v>
      </c>
      <c r="B19" s="28" t="s">
        <v>955</v>
      </c>
      <c r="C19" s="28" t="s">
        <v>112</v>
      </c>
      <c r="D19" s="29" t="s">
        <v>113</v>
      </c>
      <c r="E19" s="28" t="n">
        <v>1</v>
      </c>
      <c r="F19" s="28" t="s">
        <v>108</v>
      </c>
      <c r="G19" s="29" t="s">
        <v>114</v>
      </c>
      <c r="H19" s="28" t="s">
        <v>872</v>
      </c>
      <c r="I19" s="28" t="s">
        <v>872</v>
      </c>
      <c r="J19" s="28" t="s">
        <v>872</v>
      </c>
      <c r="K19" s="28" t="s">
        <v>872</v>
      </c>
      <c r="L19" s="28" t="s">
        <v>872</v>
      </c>
      <c r="M19" s="28" t="s">
        <v>872</v>
      </c>
      <c r="N19" s="29" t="s">
        <v>115</v>
      </c>
    </row>
    <row r="20" customFormat="false" ht="15" hidden="false" customHeight="true" outlineLevel="0" collapsed="false">
      <c r="A20" s="28" t="n">
        <v>12</v>
      </c>
      <c r="B20" s="28" t="s">
        <v>955</v>
      </c>
      <c r="C20" s="28" t="s">
        <v>117</v>
      </c>
      <c r="D20" s="29" t="s">
        <v>118</v>
      </c>
      <c r="E20" s="28" t="n">
        <v>3</v>
      </c>
      <c r="F20" s="28" t="s">
        <v>112</v>
      </c>
      <c r="G20" s="29" t="s">
        <v>114</v>
      </c>
      <c r="H20" s="28" t="s">
        <v>872</v>
      </c>
      <c r="I20" s="28" t="s">
        <v>872</v>
      </c>
      <c r="J20" s="28" t="s">
        <v>872</v>
      </c>
      <c r="K20" s="28" t="s">
        <v>872</v>
      </c>
      <c r="L20" s="28" t="s">
        <v>872</v>
      </c>
      <c r="M20" s="28" t="s">
        <v>872</v>
      </c>
      <c r="N20" s="29" t="s">
        <v>119</v>
      </c>
    </row>
    <row r="21" customFormat="false" ht="15" hidden="false" customHeight="true" outlineLevel="0" collapsed="false">
      <c r="A21" s="28" t="n">
        <v>13</v>
      </c>
      <c r="B21" s="28" t="s">
        <v>955</v>
      </c>
      <c r="C21" s="28" t="s">
        <v>121</v>
      </c>
      <c r="D21" s="29" t="s">
        <v>122</v>
      </c>
      <c r="E21" s="28" t="n">
        <v>2</v>
      </c>
      <c r="F21" s="28" t="s">
        <v>117</v>
      </c>
      <c r="G21" s="29" t="s">
        <v>114</v>
      </c>
      <c r="H21" s="28" t="s">
        <v>872</v>
      </c>
      <c r="I21" s="28" t="s">
        <v>872</v>
      </c>
      <c r="J21" s="28" t="s">
        <v>872</v>
      </c>
      <c r="K21" s="28" t="s">
        <v>872</v>
      </c>
      <c r="L21" s="28" t="s">
        <v>872</v>
      </c>
      <c r="M21" s="28" t="s">
        <v>872</v>
      </c>
      <c r="N21" s="29" t="s">
        <v>123</v>
      </c>
    </row>
    <row r="22" customFormat="false" ht="20.25" hidden="false" customHeight="true" outlineLevel="0" collapsed="false">
      <c r="A22" s="28" t="n">
        <v>14</v>
      </c>
      <c r="B22" s="28" t="s">
        <v>955</v>
      </c>
      <c r="C22" s="28" t="s">
        <v>125</v>
      </c>
      <c r="D22" s="29" t="s">
        <v>126</v>
      </c>
      <c r="E22" s="28" t="n">
        <v>3</v>
      </c>
      <c r="F22" s="28" t="s">
        <v>121</v>
      </c>
      <c r="G22" s="29" t="s">
        <v>114</v>
      </c>
      <c r="H22" s="28" t="s">
        <v>872</v>
      </c>
      <c r="I22" s="28" t="s">
        <v>872</v>
      </c>
      <c r="J22" s="28" t="s">
        <v>872</v>
      </c>
      <c r="K22" s="28" t="s">
        <v>872</v>
      </c>
      <c r="L22" s="28" t="s">
        <v>872</v>
      </c>
      <c r="M22" s="28" t="s">
        <v>872</v>
      </c>
      <c r="N22" s="29" t="s">
        <v>127</v>
      </c>
    </row>
    <row r="23" customFormat="false" ht="15" hidden="false" customHeight="true" outlineLevel="0" collapsed="false">
      <c r="A23" s="28" t="n">
        <v>15</v>
      </c>
      <c r="B23" s="28" t="s">
        <v>955</v>
      </c>
      <c r="C23" s="28" t="s">
        <v>129</v>
      </c>
      <c r="D23" s="29" t="s">
        <v>130</v>
      </c>
      <c r="E23" s="28" t="n">
        <v>2</v>
      </c>
      <c r="F23" s="28" t="s">
        <v>125</v>
      </c>
      <c r="G23" s="29" t="s">
        <v>114</v>
      </c>
      <c r="H23" s="28" t="s">
        <v>872</v>
      </c>
      <c r="I23" s="28" t="s">
        <v>872</v>
      </c>
      <c r="J23" s="28" t="s">
        <v>872</v>
      </c>
      <c r="K23" s="28" t="s">
        <v>872</v>
      </c>
      <c r="L23" s="28" t="s">
        <v>872</v>
      </c>
      <c r="M23" s="28" t="s">
        <v>872</v>
      </c>
      <c r="N23" s="29" t="s">
        <v>123</v>
      </c>
    </row>
    <row r="24" customFormat="false" ht="20.25" hidden="false" customHeight="true" outlineLevel="0" collapsed="false">
      <c r="A24" s="28" t="n">
        <v>16</v>
      </c>
      <c r="B24" s="28" t="s">
        <v>955</v>
      </c>
      <c r="C24" s="28" t="s">
        <v>132</v>
      </c>
      <c r="D24" s="29" t="s">
        <v>956</v>
      </c>
      <c r="E24" s="28" t="n">
        <v>1</v>
      </c>
      <c r="F24" s="28" t="s">
        <v>129</v>
      </c>
      <c r="G24" s="29" t="s">
        <v>114</v>
      </c>
      <c r="H24" s="28" t="s">
        <v>872</v>
      </c>
      <c r="I24" s="28" t="s">
        <v>880</v>
      </c>
      <c r="J24" s="28" t="s">
        <v>872</v>
      </c>
      <c r="K24" s="28" t="s">
        <v>872</v>
      </c>
      <c r="L24" s="28" t="s">
        <v>872</v>
      </c>
      <c r="M24" s="28" t="s">
        <v>872</v>
      </c>
      <c r="N24" s="29" t="s">
        <v>134</v>
      </c>
    </row>
    <row r="25" customFormat="false" ht="20.25" hidden="false" customHeight="true" outlineLevel="0" collapsed="false">
      <c r="A25" s="28" t="n">
        <v>17</v>
      </c>
      <c r="B25" s="28" t="s">
        <v>955</v>
      </c>
      <c r="C25" s="28" t="s">
        <v>136</v>
      </c>
      <c r="D25" s="29" t="s">
        <v>957</v>
      </c>
      <c r="E25" s="28" t="n">
        <v>2</v>
      </c>
      <c r="F25" s="28" t="s">
        <v>132</v>
      </c>
      <c r="G25" s="29" t="s">
        <v>114</v>
      </c>
      <c r="H25" s="28" t="s">
        <v>872</v>
      </c>
      <c r="I25" s="28" t="s">
        <v>880</v>
      </c>
      <c r="J25" s="28" t="s">
        <v>880</v>
      </c>
      <c r="K25" s="28" t="s">
        <v>880</v>
      </c>
      <c r="L25" s="28" t="s">
        <v>880</v>
      </c>
      <c r="M25" s="28" t="s">
        <v>872</v>
      </c>
      <c r="N25" s="29" t="s">
        <v>123</v>
      </c>
    </row>
    <row r="26" customFormat="false" ht="20.25" hidden="false" customHeight="true" outlineLevel="0" collapsed="false">
      <c r="A26" s="28" t="n">
        <v>18</v>
      </c>
      <c r="B26" s="28" t="s">
        <v>955</v>
      </c>
      <c r="C26" s="28" t="s">
        <v>139</v>
      </c>
      <c r="D26" s="29" t="s">
        <v>958</v>
      </c>
      <c r="E26" s="28" t="n">
        <v>2</v>
      </c>
      <c r="F26" s="28" t="s">
        <v>136</v>
      </c>
      <c r="G26" s="29" t="s">
        <v>114</v>
      </c>
      <c r="H26" s="28" t="s">
        <v>880</v>
      </c>
      <c r="I26" s="28" t="s">
        <v>872</v>
      </c>
      <c r="J26" s="28" t="s">
        <v>880</v>
      </c>
      <c r="K26" s="28" t="s">
        <v>880</v>
      </c>
      <c r="L26" s="28" t="s">
        <v>872</v>
      </c>
      <c r="M26" s="28" t="s">
        <v>872</v>
      </c>
      <c r="N26" s="29" t="s">
        <v>123</v>
      </c>
    </row>
    <row r="27" customFormat="false" ht="20.25" hidden="false" customHeight="true" outlineLevel="0" collapsed="false">
      <c r="A27" s="28" t="n">
        <v>19</v>
      </c>
      <c r="B27" s="28" t="s">
        <v>955</v>
      </c>
      <c r="C27" s="28" t="s">
        <v>144</v>
      </c>
      <c r="D27" s="29" t="s">
        <v>959</v>
      </c>
      <c r="E27" s="28" t="n">
        <v>2</v>
      </c>
      <c r="F27" s="28" t="s">
        <v>139</v>
      </c>
      <c r="G27" s="29" t="s">
        <v>114</v>
      </c>
      <c r="H27" s="28" t="s">
        <v>880</v>
      </c>
      <c r="I27" s="28" t="s">
        <v>880</v>
      </c>
      <c r="J27" s="28" t="s">
        <v>872</v>
      </c>
      <c r="K27" s="28" t="s">
        <v>872</v>
      </c>
      <c r="L27" s="28" t="s">
        <v>872</v>
      </c>
      <c r="M27" s="28" t="s">
        <v>872</v>
      </c>
      <c r="N27" s="29" t="s">
        <v>123</v>
      </c>
    </row>
    <row r="28" customFormat="false" ht="20.25" hidden="false" customHeight="true" outlineLevel="0" collapsed="false">
      <c r="A28" s="28" t="n">
        <v>20</v>
      </c>
      <c r="B28" s="28" t="s">
        <v>955</v>
      </c>
      <c r="C28" s="28" t="s">
        <v>147</v>
      </c>
      <c r="D28" s="29" t="s">
        <v>140</v>
      </c>
      <c r="E28" s="28" t="n">
        <v>1</v>
      </c>
      <c r="F28" s="28" t="s">
        <v>144</v>
      </c>
      <c r="G28" s="29" t="s">
        <v>141</v>
      </c>
      <c r="H28" s="28" t="s">
        <v>872</v>
      </c>
      <c r="I28" s="28" t="s">
        <v>872</v>
      </c>
      <c r="J28" s="28" t="s">
        <v>872</v>
      </c>
      <c r="K28" s="28" t="s">
        <v>872</v>
      </c>
      <c r="L28" s="28" t="s">
        <v>872</v>
      </c>
      <c r="M28" s="28" t="s">
        <v>872</v>
      </c>
      <c r="N28" s="29" t="s">
        <v>142</v>
      </c>
    </row>
    <row r="29" customFormat="false" ht="20.25" hidden="false" customHeight="true" outlineLevel="0" collapsed="false">
      <c r="A29" s="28" t="n">
        <v>21</v>
      </c>
      <c r="B29" s="28" t="s">
        <v>955</v>
      </c>
      <c r="C29" s="28" t="s">
        <v>151</v>
      </c>
      <c r="D29" s="29" t="s">
        <v>145</v>
      </c>
      <c r="E29" s="28" t="n">
        <v>2</v>
      </c>
      <c r="F29" s="28" t="s">
        <v>147</v>
      </c>
      <c r="G29" s="29" t="s">
        <v>114</v>
      </c>
      <c r="H29" s="28" t="s">
        <v>872</v>
      </c>
      <c r="I29" s="28" t="s">
        <v>872</v>
      </c>
      <c r="J29" s="28" t="s">
        <v>872</v>
      </c>
      <c r="K29" s="28" t="s">
        <v>872</v>
      </c>
      <c r="L29" s="28" t="s">
        <v>872</v>
      </c>
      <c r="M29" s="28" t="s">
        <v>872</v>
      </c>
      <c r="N29" s="29" t="s">
        <v>123</v>
      </c>
    </row>
    <row r="30" customFormat="false" ht="15" hidden="false" customHeight="true" outlineLevel="0" collapsed="false">
      <c r="A30" s="28" t="n">
        <v>22</v>
      </c>
      <c r="B30" s="28" t="s">
        <v>955</v>
      </c>
      <c r="C30" s="28" t="s">
        <v>155</v>
      </c>
      <c r="D30" s="29" t="s">
        <v>148</v>
      </c>
      <c r="E30" s="28" t="n">
        <v>1</v>
      </c>
      <c r="F30" s="28" t="s">
        <v>151</v>
      </c>
      <c r="G30" s="29" t="s">
        <v>114</v>
      </c>
      <c r="H30" s="28" t="s">
        <v>872</v>
      </c>
      <c r="I30" s="28" t="s">
        <v>872</v>
      </c>
      <c r="J30" s="28" t="s">
        <v>872</v>
      </c>
      <c r="K30" s="28" t="s">
        <v>872</v>
      </c>
      <c r="L30" s="28" t="s">
        <v>872</v>
      </c>
      <c r="M30" s="28" t="s">
        <v>872</v>
      </c>
      <c r="N30" s="29" t="s">
        <v>149</v>
      </c>
    </row>
    <row r="31" customFormat="false" ht="15" hidden="false" customHeight="true" outlineLevel="0" collapsed="false">
      <c r="A31" s="28" t="n">
        <v>23</v>
      </c>
      <c r="B31" s="28" t="s">
        <v>955</v>
      </c>
      <c r="C31" s="28" t="s">
        <v>158</v>
      </c>
      <c r="D31" s="29" t="s">
        <v>152</v>
      </c>
      <c r="E31" s="28" t="n">
        <v>1</v>
      </c>
      <c r="F31" s="28" t="s">
        <v>155</v>
      </c>
      <c r="G31" s="29" t="s">
        <v>114</v>
      </c>
      <c r="H31" s="28" t="s">
        <v>872</v>
      </c>
      <c r="I31" s="28" t="s">
        <v>872</v>
      </c>
      <c r="J31" s="28" t="s">
        <v>872</v>
      </c>
      <c r="K31" s="28" t="s">
        <v>872</v>
      </c>
      <c r="L31" s="28" t="s">
        <v>872</v>
      </c>
      <c r="M31" s="28" t="s">
        <v>872</v>
      </c>
      <c r="N31" s="29" t="s">
        <v>153</v>
      </c>
    </row>
    <row r="32" customFormat="false" ht="15" hidden="false" customHeight="true" outlineLevel="0" collapsed="false">
      <c r="A32" s="28" t="n">
        <v>24</v>
      </c>
      <c r="B32" s="28" t="s">
        <v>955</v>
      </c>
      <c r="C32" s="28" t="s">
        <v>893</v>
      </c>
      <c r="D32" s="29" t="s">
        <v>156</v>
      </c>
      <c r="E32" s="28" t="n">
        <v>1</v>
      </c>
      <c r="F32" s="28" t="s">
        <v>158</v>
      </c>
      <c r="G32" s="29" t="s">
        <v>114</v>
      </c>
      <c r="H32" s="28" t="s">
        <v>872</v>
      </c>
      <c r="I32" s="28" t="s">
        <v>872</v>
      </c>
      <c r="J32" s="28" t="s">
        <v>872</v>
      </c>
      <c r="K32" s="28" t="s">
        <v>872</v>
      </c>
      <c r="L32" s="28" t="s">
        <v>872</v>
      </c>
      <c r="M32" s="28" t="s">
        <v>872</v>
      </c>
      <c r="N32" s="29" t="s">
        <v>149</v>
      </c>
    </row>
    <row r="33" customFormat="false" ht="15" hidden="false" customHeight="true" outlineLevel="0" collapsed="false">
      <c r="A33" s="28" t="n">
        <v>25</v>
      </c>
      <c r="B33" s="28" t="s">
        <v>955</v>
      </c>
      <c r="C33" s="28" t="s">
        <v>895</v>
      </c>
      <c r="D33" s="29" t="s">
        <v>159</v>
      </c>
      <c r="E33" s="28" t="n">
        <v>1</v>
      </c>
      <c r="F33" s="28" t="s">
        <v>893</v>
      </c>
      <c r="G33" s="29" t="s">
        <v>114</v>
      </c>
      <c r="H33" s="28" t="s">
        <v>872</v>
      </c>
      <c r="I33" s="28" t="s">
        <v>872</v>
      </c>
      <c r="J33" s="28" t="s">
        <v>872</v>
      </c>
      <c r="K33" s="28" t="s">
        <v>872</v>
      </c>
      <c r="L33" s="28" t="s">
        <v>872</v>
      </c>
      <c r="M33" s="28" t="s">
        <v>872</v>
      </c>
      <c r="N33" s="29" t="s">
        <v>160</v>
      </c>
    </row>
    <row r="34" customFormat="false" ht="15" hidden="false" customHeight="true" outlineLevel="0" collapsed="false">
      <c r="A34" s="30"/>
      <c r="B34" s="30"/>
      <c r="C34" s="30"/>
      <c r="D34" s="31" t="s">
        <v>960</v>
      </c>
      <c r="E34" s="32" t="n">
        <f aca="false">SUM(E19:E33)</f>
        <v>25</v>
      </c>
      <c r="F34" s="30"/>
      <c r="G34" s="30"/>
      <c r="H34" s="30"/>
      <c r="I34" s="30"/>
      <c r="J34" s="30"/>
      <c r="K34" s="30"/>
      <c r="L34" s="30"/>
      <c r="M34" s="30"/>
      <c r="N34" s="30"/>
    </row>
    <row r="36" customFormat="false" ht="15" hidden="false" customHeight="true" outlineLevel="0" collapsed="false">
      <c r="A36" s="27" t="s">
        <v>961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customFormat="false" ht="15" hidden="false" customHeight="true" outlineLevel="0" collapsed="false">
      <c r="A37" s="28" t="n">
        <v>26</v>
      </c>
      <c r="B37" s="28" t="s">
        <v>962</v>
      </c>
      <c r="C37" s="28" t="s">
        <v>162</v>
      </c>
      <c r="D37" s="29" t="s">
        <v>163</v>
      </c>
      <c r="E37" s="28" t="n">
        <v>1</v>
      </c>
      <c r="F37" s="28" t="s">
        <v>895</v>
      </c>
      <c r="G37" s="29" t="s">
        <v>164</v>
      </c>
      <c r="H37" s="28" t="s">
        <v>872</v>
      </c>
      <c r="I37" s="28" t="s">
        <v>872</v>
      </c>
      <c r="J37" s="28" t="s">
        <v>872</v>
      </c>
      <c r="K37" s="28" t="s">
        <v>872</v>
      </c>
      <c r="L37" s="28" t="s">
        <v>872</v>
      </c>
      <c r="M37" s="28" t="s">
        <v>872</v>
      </c>
      <c r="N37" s="29" t="s">
        <v>165</v>
      </c>
    </row>
    <row r="38" customFormat="false" ht="15" hidden="false" customHeight="true" outlineLevel="0" collapsed="false">
      <c r="A38" s="28" t="n">
        <v>27</v>
      </c>
      <c r="B38" s="28" t="s">
        <v>962</v>
      </c>
      <c r="C38" s="28" t="s">
        <v>167</v>
      </c>
      <c r="D38" s="29" t="s">
        <v>168</v>
      </c>
      <c r="E38" s="28" t="n">
        <v>1</v>
      </c>
      <c r="F38" s="28" t="s">
        <v>162</v>
      </c>
      <c r="G38" s="29" t="s">
        <v>164</v>
      </c>
      <c r="H38" s="28" t="s">
        <v>872</v>
      </c>
      <c r="I38" s="28" t="s">
        <v>872</v>
      </c>
      <c r="J38" s="28" t="s">
        <v>872</v>
      </c>
      <c r="K38" s="28" t="s">
        <v>872</v>
      </c>
      <c r="L38" s="28" t="s">
        <v>872</v>
      </c>
      <c r="M38" s="28" t="s">
        <v>872</v>
      </c>
      <c r="N38" s="29" t="s">
        <v>169</v>
      </c>
    </row>
    <row r="39" customFormat="false" ht="20.25" hidden="false" customHeight="true" outlineLevel="0" collapsed="false">
      <c r="A39" s="28" t="n">
        <v>28</v>
      </c>
      <c r="B39" s="28" t="s">
        <v>962</v>
      </c>
      <c r="C39" s="28" t="s">
        <v>171</v>
      </c>
      <c r="D39" s="29" t="s">
        <v>172</v>
      </c>
      <c r="E39" s="28" t="n">
        <v>2</v>
      </c>
      <c r="F39" s="28" t="s">
        <v>167</v>
      </c>
      <c r="G39" s="29" t="s">
        <v>164</v>
      </c>
      <c r="H39" s="28" t="s">
        <v>872</v>
      </c>
      <c r="I39" s="28" t="s">
        <v>872</v>
      </c>
      <c r="J39" s="28" t="s">
        <v>872</v>
      </c>
      <c r="K39" s="28" t="s">
        <v>872</v>
      </c>
      <c r="L39" s="28" t="s">
        <v>872</v>
      </c>
      <c r="M39" s="28" t="s">
        <v>872</v>
      </c>
      <c r="N39" s="29" t="s">
        <v>173</v>
      </c>
    </row>
    <row r="40" customFormat="false" ht="15" hidden="false" customHeight="true" outlineLevel="0" collapsed="false">
      <c r="A40" s="28" t="n">
        <v>29</v>
      </c>
      <c r="B40" s="28" t="s">
        <v>962</v>
      </c>
      <c r="C40" s="28" t="s">
        <v>175</v>
      </c>
      <c r="D40" s="29" t="s">
        <v>176</v>
      </c>
      <c r="E40" s="28" t="n">
        <v>1</v>
      </c>
      <c r="F40" s="28" t="s">
        <v>171</v>
      </c>
      <c r="G40" s="29" t="s">
        <v>177</v>
      </c>
      <c r="H40" s="28" t="s">
        <v>872</v>
      </c>
      <c r="I40" s="28" t="s">
        <v>872</v>
      </c>
      <c r="J40" s="28" t="s">
        <v>880</v>
      </c>
      <c r="K40" s="28" t="s">
        <v>880</v>
      </c>
      <c r="L40" s="28" t="s">
        <v>872</v>
      </c>
      <c r="M40" s="28" t="s">
        <v>872</v>
      </c>
      <c r="N40" s="29" t="s">
        <v>178</v>
      </c>
    </row>
    <row r="41" customFormat="false" ht="20.25" hidden="false" customHeight="true" outlineLevel="0" collapsed="false">
      <c r="A41" s="28" t="n">
        <v>30</v>
      </c>
      <c r="B41" s="28" t="s">
        <v>962</v>
      </c>
      <c r="C41" s="28" t="s">
        <v>180</v>
      </c>
      <c r="D41" s="29" t="s">
        <v>963</v>
      </c>
      <c r="E41" s="28" t="n">
        <v>1</v>
      </c>
      <c r="F41" s="28" t="s">
        <v>175</v>
      </c>
      <c r="G41" s="29" t="s">
        <v>164</v>
      </c>
      <c r="H41" s="28" t="s">
        <v>872</v>
      </c>
      <c r="I41" s="28" t="s">
        <v>880</v>
      </c>
      <c r="J41" s="28" t="s">
        <v>880</v>
      </c>
      <c r="K41" s="28" t="s">
        <v>880</v>
      </c>
      <c r="L41" s="28" t="s">
        <v>880</v>
      </c>
      <c r="M41" s="28" t="s">
        <v>872</v>
      </c>
      <c r="N41" s="29" t="s">
        <v>182</v>
      </c>
    </row>
    <row r="42" customFormat="false" ht="20.25" hidden="false" customHeight="true" outlineLevel="0" collapsed="false">
      <c r="A42" s="28" t="n">
        <v>31</v>
      </c>
      <c r="B42" s="28" t="s">
        <v>962</v>
      </c>
      <c r="C42" s="28" t="s">
        <v>184</v>
      </c>
      <c r="D42" s="29" t="s">
        <v>185</v>
      </c>
      <c r="E42" s="28" t="n">
        <v>2</v>
      </c>
      <c r="F42" s="28" t="s">
        <v>180</v>
      </c>
      <c r="G42" s="29" t="s">
        <v>164</v>
      </c>
      <c r="H42" s="28" t="s">
        <v>872</v>
      </c>
      <c r="I42" s="28" t="s">
        <v>872</v>
      </c>
      <c r="J42" s="28" t="s">
        <v>872</v>
      </c>
      <c r="K42" s="28" t="s">
        <v>872</v>
      </c>
      <c r="L42" s="28" t="s">
        <v>872</v>
      </c>
      <c r="M42" s="28" t="s">
        <v>872</v>
      </c>
      <c r="N42" s="29" t="s">
        <v>186</v>
      </c>
    </row>
    <row r="43" customFormat="false" ht="15" hidden="false" customHeight="true" outlineLevel="0" collapsed="false">
      <c r="A43" s="28" t="n">
        <v>32</v>
      </c>
      <c r="B43" s="28" t="s">
        <v>962</v>
      </c>
      <c r="C43" s="28" t="s">
        <v>188</v>
      </c>
      <c r="D43" s="29" t="s">
        <v>189</v>
      </c>
      <c r="E43" s="28" t="n">
        <v>1</v>
      </c>
      <c r="F43" s="28" t="s">
        <v>184</v>
      </c>
      <c r="G43" s="29" t="s">
        <v>164</v>
      </c>
      <c r="H43" s="28" t="s">
        <v>880</v>
      </c>
      <c r="I43" s="28" t="s">
        <v>880</v>
      </c>
      <c r="J43" s="28" t="s">
        <v>872</v>
      </c>
      <c r="K43" s="28" t="s">
        <v>872</v>
      </c>
      <c r="L43" s="28" t="s">
        <v>872</v>
      </c>
      <c r="M43" s="28" t="s">
        <v>872</v>
      </c>
      <c r="N43" s="29" t="s">
        <v>186</v>
      </c>
    </row>
    <row r="44" customFormat="false" ht="15" hidden="false" customHeight="true" outlineLevel="0" collapsed="false">
      <c r="A44" s="28" t="n">
        <v>33</v>
      </c>
      <c r="B44" s="28" t="s">
        <v>962</v>
      </c>
      <c r="C44" s="28" t="s">
        <v>191</v>
      </c>
      <c r="D44" s="29" t="s">
        <v>192</v>
      </c>
      <c r="E44" s="28" t="n">
        <v>1</v>
      </c>
      <c r="F44" s="28" t="s">
        <v>188</v>
      </c>
      <c r="G44" s="29" t="s">
        <v>164</v>
      </c>
      <c r="H44" s="28" t="s">
        <v>872</v>
      </c>
      <c r="I44" s="28" t="s">
        <v>872</v>
      </c>
      <c r="J44" s="28" t="s">
        <v>872</v>
      </c>
      <c r="K44" s="28" t="s">
        <v>872</v>
      </c>
      <c r="L44" s="28" t="s">
        <v>872</v>
      </c>
      <c r="M44" s="28" t="s">
        <v>872</v>
      </c>
      <c r="N44" s="29" t="s">
        <v>193</v>
      </c>
    </row>
    <row r="45" customFormat="false" ht="20.25" hidden="false" customHeight="true" outlineLevel="0" collapsed="false">
      <c r="A45" s="28" t="n">
        <v>34</v>
      </c>
      <c r="B45" s="28" t="s">
        <v>962</v>
      </c>
      <c r="C45" s="28" t="s">
        <v>195</v>
      </c>
      <c r="D45" s="29" t="s">
        <v>964</v>
      </c>
      <c r="E45" s="28" t="n">
        <v>2</v>
      </c>
      <c r="F45" s="28" t="s">
        <v>191</v>
      </c>
      <c r="G45" s="29" t="s">
        <v>164</v>
      </c>
      <c r="H45" s="28" t="s">
        <v>880</v>
      </c>
      <c r="I45" s="28" t="s">
        <v>880</v>
      </c>
      <c r="J45" s="28" t="s">
        <v>880</v>
      </c>
      <c r="K45" s="28" t="s">
        <v>880</v>
      </c>
      <c r="L45" s="28" t="s">
        <v>880</v>
      </c>
      <c r="M45" s="28" t="s">
        <v>872</v>
      </c>
      <c r="N45" s="29" t="s">
        <v>197</v>
      </c>
    </row>
    <row r="46" customFormat="false" ht="15" hidden="false" customHeight="true" outlineLevel="0" collapsed="false">
      <c r="A46" s="28" t="n">
        <v>35</v>
      </c>
      <c r="B46" s="28" t="s">
        <v>962</v>
      </c>
      <c r="C46" s="28" t="s">
        <v>199</v>
      </c>
      <c r="D46" s="29" t="s">
        <v>200</v>
      </c>
      <c r="E46" s="28" t="n">
        <v>1</v>
      </c>
      <c r="F46" s="28" t="s">
        <v>195</v>
      </c>
      <c r="G46" s="29" t="s">
        <v>164</v>
      </c>
      <c r="H46" s="28" t="s">
        <v>872</v>
      </c>
      <c r="I46" s="28" t="s">
        <v>872</v>
      </c>
      <c r="J46" s="28" t="s">
        <v>872</v>
      </c>
      <c r="K46" s="28" t="s">
        <v>872</v>
      </c>
      <c r="L46" s="28" t="s">
        <v>872</v>
      </c>
      <c r="M46" s="28" t="s">
        <v>872</v>
      </c>
      <c r="N46" s="29" t="s">
        <v>201</v>
      </c>
    </row>
    <row r="47" customFormat="false" ht="15" hidden="false" customHeight="true" outlineLevel="0" collapsed="false">
      <c r="A47" s="30"/>
      <c r="B47" s="30"/>
      <c r="C47" s="30"/>
      <c r="D47" s="31" t="s">
        <v>965</v>
      </c>
      <c r="E47" s="32" t="n">
        <f aca="false">SUM(E37:E46)</f>
        <v>13</v>
      </c>
      <c r="F47" s="30"/>
      <c r="G47" s="30"/>
      <c r="H47" s="30"/>
      <c r="I47" s="30"/>
      <c r="J47" s="30"/>
      <c r="K47" s="30"/>
      <c r="L47" s="30"/>
      <c r="M47" s="30"/>
      <c r="N47" s="30"/>
    </row>
    <row r="49" customFormat="false" ht="15" hidden="false" customHeight="true" outlineLevel="0" collapsed="false">
      <c r="A49" s="27" t="s">
        <v>966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 customFormat="false" ht="15" hidden="false" customHeight="true" outlineLevel="0" collapsed="false">
      <c r="A50" s="28" t="n">
        <v>36</v>
      </c>
      <c r="B50" s="28" t="s">
        <v>967</v>
      </c>
      <c r="C50" s="28" t="s">
        <v>203</v>
      </c>
      <c r="D50" s="29" t="s">
        <v>204</v>
      </c>
      <c r="E50" s="28" t="n">
        <v>1</v>
      </c>
      <c r="F50" s="28" t="s">
        <v>199</v>
      </c>
      <c r="G50" s="29" t="s">
        <v>164</v>
      </c>
      <c r="H50" s="28" t="s">
        <v>872</v>
      </c>
      <c r="I50" s="28" t="s">
        <v>872</v>
      </c>
      <c r="J50" s="28" t="s">
        <v>872</v>
      </c>
      <c r="K50" s="28" t="s">
        <v>872</v>
      </c>
      <c r="L50" s="28" t="s">
        <v>872</v>
      </c>
      <c r="M50" s="28" t="s">
        <v>872</v>
      </c>
      <c r="N50" s="29" t="s">
        <v>205</v>
      </c>
    </row>
    <row r="51" customFormat="false" ht="20.25" hidden="false" customHeight="true" outlineLevel="0" collapsed="false">
      <c r="A51" s="28" t="n">
        <v>37</v>
      </c>
      <c r="B51" s="28" t="s">
        <v>967</v>
      </c>
      <c r="C51" s="28" t="s">
        <v>207</v>
      </c>
      <c r="D51" s="29" t="s">
        <v>208</v>
      </c>
      <c r="E51" s="28" t="n">
        <v>1</v>
      </c>
      <c r="F51" s="28" t="s">
        <v>203</v>
      </c>
      <c r="G51" s="29" t="s">
        <v>209</v>
      </c>
      <c r="H51" s="28" t="s">
        <v>872</v>
      </c>
      <c r="I51" s="28" t="s">
        <v>872</v>
      </c>
      <c r="J51" s="28" t="s">
        <v>872</v>
      </c>
      <c r="K51" s="28" t="s">
        <v>872</v>
      </c>
      <c r="L51" s="28" t="s">
        <v>872</v>
      </c>
      <c r="M51" s="28" t="s">
        <v>872</v>
      </c>
      <c r="N51" s="29" t="s">
        <v>210</v>
      </c>
    </row>
    <row r="52" customFormat="false" ht="20.25" hidden="false" customHeight="true" outlineLevel="0" collapsed="false">
      <c r="A52" s="28" t="n">
        <v>38</v>
      </c>
      <c r="B52" s="28" t="s">
        <v>967</v>
      </c>
      <c r="C52" s="28" t="s">
        <v>212</v>
      </c>
      <c r="D52" s="29" t="s">
        <v>213</v>
      </c>
      <c r="E52" s="28" t="n">
        <v>1</v>
      </c>
      <c r="F52" s="28" t="s">
        <v>207</v>
      </c>
      <c r="G52" s="29" t="s">
        <v>164</v>
      </c>
      <c r="H52" s="28" t="s">
        <v>872</v>
      </c>
      <c r="I52" s="28" t="s">
        <v>872</v>
      </c>
      <c r="J52" s="28" t="s">
        <v>872</v>
      </c>
      <c r="K52" s="28" t="s">
        <v>872</v>
      </c>
      <c r="L52" s="28" t="s">
        <v>872</v>
      </c>
      <c r="M52" s="28" t="s">
        <v>872</v>
      </c>
      <c r="N52" s="29" t="s">
        <v>210</v>
      </c>
    </row>
    <row r="53" customFormat="false" ht="15" hidden="false" customHeight="true" outlineLevel="0" collapsed="false">
      <c r="A53" s="28" t="n">
        <v>39</v>
      </c>
      <c r="B53" s="28" t="s">
        <v>967</v>
      </c>
      <c r="C53" s="28" t="s">
        <v>215</v>
      </c>
      <c r="D53" s="29" t="s">
        <v>216</v>
      </c>
      <c r="E53" s="28" t="n">
        <v>1</v>
      </c>
      <c r="F53" s="28" t="s">
        <v>212</v>
      </c>
      <c r="G53" s="29" t="s">
        <v>164</v>
      </c>
      <c r="H53" s="28" t="s">
        <v>880</v>
      </c>
      <c r="I53" s="28" t="s">
        <v>880</v>
      </c>
      <c r="J53" s="28" t="s">
        <v>872</v>
      </c>
      <c r="K53" s="28" t="s">
        <v>872</v>
      </c>
      <c r="L53" s="28" t="s">
        <v>872</v>
      </c>
      <c r="M53" s="28" t="s">
        <v>872</v>
      </c>
      <c r="N53" s="29" t="s">
        <v>217</v>
      </c>
    </row>
    <row r="54" customFormat="false" ht="15" hidden="false" customHeight="true" outlineLevel="0" collapsed="false">
      <c r="A54" s="28" t="n">
        <v>40</v>
      </c>
      <c r="B54" s="28" t="s">
        <v>967</v>
      </c>
      <c r="C54" s="28" t="s">
        <v>219</v>
      </c>
      <c r="D54" s="29" t="s">
        <v>968</v>
      </c>
      <c r="E54" s="28" t="n">
        <v>0.5</v>
      </c>
      <c r="F54" s="28" t="s">
        <v>215</v>
      </c>
      <c r="G54" s="29" t="s">
        <v>164</v>
      </c>
      <c r="H54" s="28" t="s">
        <v>880</v>
      </c>
      <c r="I54" s="28" t="s">
        <v>872</v>
      </c>
      <c r="J54" s="28" t="s">
        <v>880</v>
      </c>
      <c r="K54" s="28" t="s">
        <v>880</v>
      </c>
      <c r="L54" s="28" t="s">
        <v>872</v>
      </c>
      <c r="M54" s="28" t="s">
        <v>872</v>
      </c>
      <c r="N54" s="29" t="s">
        <v>221</v>
      </c>
    </row>
    <row r="55" customFormat="false" ht="15" hidden="false" customHeight="true" outlineLevel="0" collapsed="false">
      <c r="A55" s="28" t="n">
        <v>41</v>
      </c>
      <c r="B55" s="28" t="s">
        <v>967</v>
      </c>
      <c r="C55" s="28" t="s">
        <v>223</v>
      </c>
      <c r="D55" s="29" t="s">
        <v>224</v>
      </c>
      <c r="E55" s="28" t="n">
        <v>0.5</v>
      </c>
      <c r="F55" s="28" t="s">
        <v>219</v>
      </c>
      <c r="G55" s="29" t="s">
        <v>164</v>
      </c>
      <c r="H55" s="28" t="s">
        <v>872</v>
      </c>
      <c r="I55" s="28" t="s">
        <v>872</v>
      </c>
      <c r="J55" s="28" t="s">
        <v>872</v>
      </c>
      <c r="K55" s="28" t="s">
        <v>872</v>
      </c>
      <c r="L55" s="28" t="s">
        <v>872</v>
      </c>
      <c r="M55" s="28" t="s">
        <v>872</v>
      </c>
      <c r="N55" s="29" t="s">
        <v>225</v>
      </c>
    </row>
    <row r="56" customFormat="false" ht="15" hidden="false" customHeight="true" outlineLevel="0" collapsed="false">
      <c r="A56" s="30"/>
      <c r="B56" s="30"/>
      <c r="C56" s="30"/>
      <c r="D56" s="31" t="s">
        <v>969</v>
      </c>
      <c r="E56" s="32" t="n">
        <f aca="false">SUM(E50:E55)</f>
        <v>5</v>
      </c>
      <c r="F56" s="30"/>
      <c r="G56" s="30"/>
      <c r="H56" s="30"/>
      <c r="I56" s="30"/>
      <c r="J56" s="30"/>
      <c r="K56" s="30"/>
      <c r="L56" s="30"/>
      <c r="M56" s="30"/>
      <c r="N56" s="30"/>
    </row>
    <row r="58" customFormat="false" ht="15" hidden="false" customHeight="true" outlineLevel="0" collapsed="false">
      <c r="A58" s="27" t="s">
        <v>970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customFormat="false" ht="20.25" hidden="false" customHeight="true" outlineLevel="0" collapsed="false">
      <c r="A59" s="28" t="n">
        <v>42</v>
      </c>
      <c r="B59" s="28" t="s">
        <v>971</v>
      </c>
      <c r="C59" s="28" t="s">
        <v>227</v>
      </c>
      <c r="D59" s="29" t="s">
        <v>972</v>
      </c>
      <c r="E59" s="28" t="n">
        <v>2</v>
      </c>
      <c r="F59" s="28" t="s">
        <v>223</v>
      </c>
      <c r="G59" s="29" t="s">
        <v>229</v>
      </c>
      <c r="H59" s="28" t="s">
        <v>872</v>
      </c>
      <c r="I59" s="28" t="s">
        <v>872</v>
      </c>
      <c r="J59" s="28" t="s">
        <v>872</v>
      </c>
      <c r="K59" s="28" t="s">
        <v>872</v>
      </c>
      <c r="L59" s="28" t="s">
        <v>872</v>
      </c>
      <c r="M59" s="28" t="s">
        <v>872</v>
      </c>
      <c r="N59" s="29" t="s">
        <v>230</v>
      </c>
    </row>
    <row r="60" customFormat="false" ht="20.25" hidden="false" customHeight="true" outlineLevel="0" collapsed="false">
      <c r="A60" s="28" t="n">
        <v>43</v>
      </c>
      <c r="B60" s="28" t="s">
        <v>971</v>
      </c>
      <c r="C60" s="28" t="s">
        <v>232</v>
      </c>
      <c r="D60" s="29" t="s">
        <v>233</v>
      </c>
      <c r="E60" s="28" t="n">
        <v>2</v>
      </c>
      <c r="F60" s="28" t="s">
        <v>227</v>
      </c>
      <c r="G60" s="29" t="s">
        <v>67</v>
      </c>
      <c r="H60" s="28" t="s">
        <v>872</v>
      </c>
      <c r="I60" s="28" t="s">
        <v>872</v>
      </c>
      <c r="J60" s="28" t="s">
        <v>872</v>
      </c>
      <c r="K60" s="28" t="s">
        <v>872</v>
      </c>
      <c r="L60" s="28" t="s">
        <v>872</v>
      </c>
      <c r="M60" s="28" t="s">
        <v>872</v>
      </c>
      <c r="N60" s="29" t="s">
        <v>234</v>
      </c>
    </row>
    <row r="61" customFormat="false" ht="20.25" hidden="false" customHeight="true" outlineLevel="0" collapsed="false">
      <c r="A61" s="28" t="n">
        <v>44</v>
      </c>
      <c r="B61" s="28" t="s">
        <v>971</v>
      </c>
      <c r="C61" s="28" t="s">
        <v>236</v>
      </c>
      <c r="D61" s="29" t="s">
        <v>237</v>
      </c>
      <c r="E61" s="28" t="n">
        <v>1</v>
      </c>
      <c r="F61" s="28" t="s">
        <v>232</v>
      </c>
      <c r="G61" s="29" t="s">
        <v>164</v>
      </c>
      <c r="H61" s="28" t="s">
        <v>872</v>
      </c>
      <c r="I61" s="28" t="s">
        <v>872</v>
      </c>
      <c r="J61" s="28" t="s">
        <v>872</v>
      </c>
      <c r="K61" s="28" t="s">
        <v>872</v>
      </c>
      <c r="L61" s="28" t="s">
        <v>872</v>
      </c>
      <c r="M61" s="28" t="s">
        <v>872</v>
      </c>
      <c r="N61" s="29" t="s">
        <v>238</v>
      </c>
    </row>
    <row r="62" customFormat="false" ht="20.25" hidden="false" customHeight="true" outlineLevel="0" collapsed="false">
      <c r="A62" s="28" t="n">
        <v>45</v>
      </c>
      <c r="B62" s="28" t="s">
        <v>971</v>
      </c>
      <c r="C62" s="28" t="s">
        <v>240</v>
      </c>
      <c r="D62" s="29" t="s">
        <v>241</v>
      </c>
      <c r="E62" s="28" t="n">
        <v>1</v>
      </c>
      <c r="F62" s="28" t="s">
        <v>236</v>
      </c>
      <c r="G62" s="29" t="s">
        <v>72</v>
      </c>
      <c r="H62" s="28" t="s">
        <v>872</v>
      </c>
      <c r="I62" s="28" t="s">
        <v>872</v>
      </c>
      <c r="J62" s="28" t="s">
        <v>872</v>
      </c>
      <c r="K62" s="28" t="s">
        <v>872</v>
      </c>
      <c r="L62" s="28" t="s">
        <v>872</v>
      </c>
      <c r="M62" s="28" t="s">
        <v>872</v>
      </c>
      <c r="N62" s="29" t="s">
        <v>242</v>
      </c>
    </row>
    <row r="63" customFormat="false" ht="15" hidden="false" customHeight="true" outlineLevel="0" collapsed="false">
      <c r="A63" s="28" t="n">
        <v>46</v>
      </c>
      <c r="B63" s="28" t="s">
        <v>971</v>
      </c>
      <c r="C63" s="28" t="s">
        <v>244</v>
      </c>
      <c r="D63" s="29" t="s">
        <v>245</v>
      </c>
      <c r="E63" s="28" t="n">
        <v>1</v>
      </c>
      <c r="F63" s="28" t="s">
        <v>240</v>
      </c>
      <c r="G63" s="29" t="s">
        <v>229</v>
      </c>
      <c r="H63" s="28" t="s">
        <v>872</v>
      </c>
      <c r="I63" s="28" t="s">
        <v>872</v>
      </c>
      <c r="J63" s="28" t="s">
        <v>872</v>
      </c>
      <c r="K63" s="28" t="s">
        <v>872</v>
      </c>
      <c r="L63" s="28" t="s">
        <v>872</v>
      </c>
      <c r="M63" s="28" t="s">
        <v>872</v>
      </c>
      <c r="N63" s="29" t="s">
        <v>246</v>
      </c>
    </row>
    <row r="64" customFormat="false" ht="15" hidden="false" customHeight="true" outlineLevel="0" collapsed="false">
      <c r="A64" s="30"/>
      <c r="B64" s="30"/>
      <c r="C64" s="30"/>
      <c r="D64" s="31" t="s">
        <v>973</v>
      </c>
      <c r="E64" s="32" t="n">
        <f aca="false">SUM(E59:E63)</f>
        <v>7</v>
      </c>
      <c r="F64" s="30"/>
      <c r="G64" s="30"/>
      <c r="H64" s="30"/>
      <c r="I64" s="30"/>
      <c r="J64" s="30"/>
      <c r="K64" s="30"/>
      <c r="L64" s="30"/>
      <c r="M64" s="30"/>
      <c r="N64" s="30"/>
    </row>
    <row r="66" customFormat="false" ht="15" hidden="false" customHeight="true" outlineLevel="0" collapsed="false">
      <c r="D66" s="33" t="s">
        <v>974</v>
      </c>
      <c r="E66" s="34" t="n">
        <f aca="false">E16+E34+E47+E56+E64</f>
        <v>75</v>
      </c>
    </row>
    <row r="68" customFormat="false" ht="45" hidden="false" customHeight="true" outlineLevel="0" collapsed="false">
      <c r="A68" s="35" t="s">
        <v>975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customFormat="false" ht="31.5" hidden="false" customHeight="true" outlineLevel="0" collapsed="false">
      <c r="A69" s="35" t="s">
        <v>976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</sheetData>
  <mergeCells count="9">
    <mergeCell ref="A1:N1"/>
    <mergeCell ref="A2:N2"/>
    <mergeCell ref="A5:N5"/>
    <mergeCell ref="A18:N18"/>
    <mergeCell ref="A36:N36"/>
    <mergeCell ref="A49:N49"/>
    <mergeCell ref="A58:N58"/>
    <mergeCell ref="A68:N68"/>
    <mergeCell ref="A69:N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7"/>
    <col collapsed="false" customWidth="true" hidden="false" outlineLevel="0" max="4" min="4" style="1" width="4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30"/>
    <col collapsed="false" customWidth="true" hidden="false" outlineLevel="0" max="22" min="9" style="1" width="7"/>
    <col collapsed="false" customWidth="true" hidden="false" outlineLevel="0" max="23" min="23" style="1" width="18"/>
  </cols>
  <sheetData>
    <row r="1" customFormat="false" ht="17.25" hidden="false" customHeight="true" outlineLevel="0" collapsed="false">
      <c r="A1" s="24" t="s">
        <v>977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customFormat="false" ht="15" hidden="false" customHeight="true" outlineLevel="0" collapsed="false">
      <c r="A2" s="25" t="s">
        <v>978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4" customFormat="false" ht="34.5" hidden="false" customHeight="true" outlineLevel="0" collapsed="false">
      <c r="A4" s="26" t="s">
        <v>58</v>
      </c>
      <c r="B4" s="26" t="s">
        <v>942</v>
      </c>
      <c r="C4" s="26" t="s">
        <v>59</v>
      </c>
      <c r="D4" s="26" t="s">
        <v>943</v>
      </c>
      <c r="E4" s="26" t="s">
        <v>944</v>
      </c>
      <c r="F4" s="26" t="s">
        <v>945</v>
      </c>
      <c r="G4" s="26" t="s">
        <v>61</v>
      </c>
      <c r="H4" s="26" t="s">
        <v>979</v>
      </c>
      <c r="I4" s="26" t="s">
        <v>980</v>
      </c>
      <c r="J4" s="26" t="s">
        <v>981</v>
      </c>
      <c r="K4" s="26" t="s">
        <v>982</v>
      </c>
      <c r="L4" s="26" t="s">
        <v>983</v>
      </c>
      <c r="M4" s="26" t="s">
        <v>984</v>
      </c>
      <c r="N4" s="26" t="s">
        <v>985</v>
      </c>
      <c r="O4" s="26" t="s">
        <v>986</v>
      </c>
      <c r="P4" s="26" t="s">
        <v>987</v>
      </c>
      <c r="Q4" s="26" t="s">
        <v>988</v>
      </c>
      <c r="R4" s="26" t="s">
        <v>989</v>
      </c>
      <c r="S4" s="26" t="s">
        <v>990</v>
      </c>
      <c r="T4" s="26" t="s">
        <v>991</v>
      </c>
      <c r="U4" s="26" t="s">
        <v>992</v>
      </c>
      <c r="V4" s="26" t="s">
        <v>993</v>
      </c>
      <c r="W4" s="26" t="s">
        <v>994</v>
      </c>
    </row>
    <row r="5" customFormat="false" ht="15" hidden="false" customHeight="true" outlineLevel="0" collapsed="false">
      <c r="A5" s="27" t="s">
        <v>995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 customFormat="false" ht="30" hidden="false" customHeight="true" outlineLevel="0" collapsed="false">
      <c r="A6" s="28" t="n">
        <v>1</v>
      </c>
      <c r="B6" s="28" t="s">
        <v>949</v>
      </c>
      <c r="C6" s="28" t="s">
        <v>65</v>
      </c>
      <c r="D6" s="29" t="s">
        <v>996</v>
      </c>
      <c r="E6" s="28" t="n">
        <v>2</v>
      </c>
      <c r="F6" s="28" t="s">
        <v>880</v>
      </c>
      <c r="G6" s="29" t="s">
        <v>997</v>
      </c>
      <c r="H6" s="29" t="s">
        <v>998</v>
      </c>
      <c r="I6" s="28" t="s">
        <v>872</v>
      </c>
      <c r="J6" s="28" t="s">
        <v>872</v>
      </c>
      <c r="K6" s="28" t="s">
        <v>872</v>
      </c>
      <c r="L6" s="28" t="s">
        <v>872</v>
      </c>
      <c r="M6" s="28" t="s">
        <v>872</v>
      </c>
      <c r="N6" s="28" t="s">
        <v>872</v>
      </c>
      <c r="O6" s="28" t="s">
        <v>872</v>
      </c>
      <c r="P6" s="28" t="s">
        <v>872</v>
      </c>
      <c r="Q6" s="28" t="s">
        <v>872</v>
      </c>
      <c r="R6" s="28" t="s">
        <v>872</v>
      </c>
      <c r="S6" s="28" t="s">
        <v>872</v>
      </c>
      <c r="T6" s="28" t="s">
        <v>872</v>
      </c>
      <c r="U6" s="28" t="s">
        <v>872</v>
      </c>
      <c r="V6" s="28" t="s">
        <v>872</v>
      </c>
      <c r="W6" s="29"/>
    </row>
    <row r="7" customFormat="false" ht="20.25" hidden="false" customHeight="true" outlineLevel="0" collapsed="false">
      <c r="A7" s="28" t="n">
        <v>2</v>
      </c>
      <c r="B7" s="28" t="s">
        <v>949</v>
      </c>
      <c r="C7" s="28" t="s">
        <v>70</v>
      </c>
      <c r="D7" s="29" t="s">
        <v>999</v>
      </c>
      <c r="E7" s="28" t="n">
        <v>3</v>
      </c>
      <c r="F7" s="28" t="s">
        <v>65</v>
      </c>
      <c r="G7" s="29" t="s">
        <v>997</v>
      </c>
      <c r="H7" s="29" t="s">
        <v>1000</v>
      </c>
      <c r="I7" s="28" t="s">
        <v>872</v>
      </c>
      <c r="J7" s="28" t="s">
        <v>872</v>
      </c>
      <c r="K7" s="28" t="s">
        <v>872</v>
      </c>
      <c r="L7" s="28" t="s">
        <v>872</v>
      </c>
      <c r="M7" s="28" t="s">
        <v>872</v>
      </c>
      <c r="N7" s="28" t="s">
        <v>872</v>
      </c>
      <c r="O7" s="28" t="s">
        <v>872</v>
      </c>
      <c r="P7" s="28" t="s">
        <v>872</v>
      </c>
      <c r="Q7" s="28" t="s">
        <v>872</v>
      </c>
      <c r="R7" s="28" t="s">
        <v>872</v>
      </c>
      <c r="S7" s="28" t="s">
        <v>872</v>
      </c>
      <c r="T7" s="28" t="s">
        <v>880</v>
      </c>
      <c r="U7" s="28" t="s">
        <v>872</v>
      </c>
      <c r="V7" s="28" t="s">
        <v>880</v>
      </c>
      <c r="W7" s="29"/>
    </row>
    <row r="8" customFormat="false" ht="20.25" hidden="false" customHeight="true" outlineLevel="0" collapsed="false">
      <c r="A8" s="28" t="n">
        <v>3</v>
      </c>
      <c r="B8" s="28" t="s">
        <v>949</v>
      </c>
      <c r="C8" s="28" t="s">
        <v>75</v>
      </c>
      <c r="D8" s="29" t="s">
        <v>1001</v>
      </c>
      <c r="E8" s="28" t="n">
        <v>3</v>
      </c>
      <c r="F8" s="28" t="s">
        <v>70</v>
      </c>
      <c r="G8" s="29" t="s">
        <v>1002</v>
      </c>
      <c r="H8" s="29" t="s">
        <v>1003</v>
      </c>
      <c r="I8" s="28" t="s">
        <v>880</v>
      </c>
      <c r="J8" s="28" t="s">
        <v>880</v>
      </c>
      <c r="K8" s="28" t="s">
        <v>880</v>
      </c>
      <c r="L8" s="28" t="s">
        <v>880</v>
      </c>
      <c r="M8" s="28" t="s">
        <v>880</v>
      </c>
      <c r="N8" s="28" t="s">
        <v>880</v>
      </c>
      <c r="O8" s="28" t="s">
        <v>880</v>
      </c>
      <c r="P8" s="28" t="s">
        <v>880</v>
      </c>
      <c r="Q8" s="28" t="s">
        <v>880</v>
      </c>
      <c r="R8" s="28" t="s">
        <v>872</v>
      </c>
      <c r="S8" s="28" t="s">
        <v>872</v>
      </c>
      <c r="T8" s="28" t="s">
        <v>880</v>
      </c>
      <c r="U8" s="28" t="s">
        <v>880</v>
      </c>
      <c r="V8" s="28" t="s">
        <v>880</v>
      </c>
      <c r="W8" s="29"/>
    </row>
    <row r="9" customFormat="false" ht="20.25" hidden="false" customHeight="true" outlineLevel="0" collapsed="false">
      <c r="A9" s="28" t="n">
        <v>4</v>
      </c>
      <c r="B9" s="28" t="s">
        <v>949</v>
      </c>
      <c r="C9" s="28" t="s">
        <v>80</v>
      </c>
      <c r="D9" s="29" t="s">
        <v>1004</v>
      </c>
      <c r="E9" s="28" t="n">
        <v>4</v>
      </c>
      <c r="F9" s="28" t="s">
        <v>75</v>
      </c>
      <c r="G9" s="29" t="s">
        <v>72</v>
      </c>
      <c r="H9" s="29" t="s">
        <v>1005</v>
      </c>
      <c r="I9" s="28" t="s">
        <v>872</v>
      </c>
      <c r="J9" s="28" t="s">
        <v>872</v>
      </c>
      <c r="K9" s="28" t="s">
        <v>872</v>
      </c>
      <c r="L9" s="28" t="s">
        <v>872</v>
      </c>
      <c r="M9" s="28" t="s">
        <v>872</v>
      </c>
      <c r="N9" s="28" t="s">
        <v>872</v>
      </c>
      <c r="O9" s="28" t="s">
        <v>872</v>
      </c>
      <c r="P9" s="28" t="s">
        <v>872</v>
      </c>
      <c r="Q9" s="28" t="s">
        <v>872</v>
      </c>
      <c r="R9" s="28" t="s">
        <v>872</v>
      </c>
      <c r="S9" s="28" t="s">
        <v>872</v>
      </c>
      <c r="T9" s="28" t="s">
        <v>880</v>
      </c>
      <c r="U9" s="28" t="s">
        <v>872</v>
      </c>
      <c r="V9" s="28" t="s">
        <v>880</v>
      </c>
      <c r="W9" s="29"/>
    </row>
    <row r="10" customFormat="false" ht="20.25" hidden="false" customHeight="true" outlineLevel="0" collapsed="false">
      <c r="A10" s="28" t="n">
        <v>5</v>
      </c>
      <c r="B10" s="28" t="s">
        <v>949</v>
      </c>
      <c r="C10" s="28" t="s">
        <v>84</v>
      </c>
      <c r="D10" s="29" t="s">
        <v>1006</v>
      </c>
      <c r="E10" s="28" t="n">
        <v>5</v>
      </c>
      <c r="F10" s="28" t="s">
        <v>80</v>
      </c>
      <c r="G10" s="29" t="s">
        <v>72</v>
      </c>
      <c r="H10" s="29" t="s">
        <v>1007</v>
      </c>
      <c r="I10" s="28" t="s">
        <v>872</v>
      </c>
      <c r="J10" s="28" t="s">
        <v>872</v>
      </c>
      <c r="K10" s="28" t="s">
        <v>872</v>
      </c>
      <c r="L10" s="28" t="s">
        <v>872</v>
      </c>
      <c r="M10" s="28" t="s">
        <v>872</v>
      </c>
      <c r="N10" s="28" t="s">
        <v>872</v>
      </c>
      <c r="O10" s="28" t="s">
        <v>872</v>
      </c>
      <c r="P10" s="28" t="s">
        <v>872</v>
      </c>
      <c r="Q10" s="28" t="s">
        <v>880</v>
      </c>
      <c r="R10" s="28" t="s">
        <v>880</v>
      </c>
      <c r="S10" s="28" t="s">
        <v>880</v>
      </c>
      <c r="T10" s="28" t="s">
        <v>880</v>
      </c>
      <c r="U10" s="28" t="s">
        <v>872</v>
      </c>
      <c r="V10" s="28" t="s">
        <v>880</v>
      </c>
      <c r="W10" s="29"/>
    </row>
    <row r="11" customFormat="false" ht="20.25" hidden="false" customHeight="true" outlineLevel="0" collapsed="false">
      <c r="A11" s="28" t="n">
        <v>6</v>
      </c>
      <c r="B11" s="28" t="s">
        <v>949</v>
      </c>
      <c r="C11" s="28" t="s">
        <v>89</v>
      </c>
      <c r="D11" s="29" t="s">
        <v>1008</v>
      </c>
      <c r="E11" s="28" t="n">
        <v>1</v>
      </c>
      <c r="F11" s="28" t="s">
        <v>84</v>
      </c>
      <c r="G11" s="29" t="s">
        <v>72</v>
      </c>
      <c r="H11" s="29" t="s">
        <v>1009</v>
      </c>
      <c r="I11" s="28" t="s">
        <v>872</v>
      </c>
      <c r="J11" s="28" t="s">
        <v>872</v>
      </c>
      <c r="K11" s="28" t="s">
        <v>872</v>
      </c>
      <c r="L11" s="28" t="s">
        <v>872</v>
      </c>
      <c r="M11" s="28" t="s">
        <v>872</v>
      </c>
      <c r="N11" s="28" t="s">
        <v>872</v>
      </c>
      <c r="O11" s="28" t="s">
        <v>872</v>
      </c>
      <c r="P11" s="28" t="s">
        <v>872</v>
      </c>
      <c r="Q11" s="28" t="s">
        <v>872</v>
      </c>
      <c r="R11" s="28" t="s">
        <v>872</v>
      </c>
      <c r="S11" s="28" t="s">
        <v>872</v>
      </c>
      <c r="T11" s="28" t="s">
        <v>872</v>
      </c>
      <c r="U11" s="28" t="s">
        <v>872</v>
      </c>
      <c r="V11" s="28" t="s">
        <v>872</v>
      </c>
      <c r="W11" s="29"/>
    </row>
    <row r="12" customFormat="false" ht="15" hidden="false" customHeight="true" outlineLevel="0" collapsed="false">
      <c r="A12" s="30"/>
      <c r="B12" s="30"/>
      <c r="C12" s="30"/>
      <c r="D12" s="31" t="s">
        <v>1010</v>
      </c>
      <c r="E12" s="32" t="n">
        <f aca="false">SUM(E6:E11)</f>
        <v>18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4" customFormat="false" ht="15" hidden="false" customHeight="true" outlineLevel="0" collapsed="false">
      <c r="A14" s="27" t="s">
        <v>1011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customFormat="false" ht="20.25" hidden="false" customHeight="true" outlineLevel="0" collapsed="false">
      <c r="A15" s="28" t="n">
        <v>7</v>
      </c>
      <c r="B15" s="28" t="s">
        <v>955</v>
      </c>
      <c r="C15" s="28" t="s">
        <v>112</v>
      </c>
      <c r="D15" s="29" t="s">
        <v>1012</v>
      </c>
      <c r="E15" s="28" t="n">
        <v>4</v>
      </c>
      <c r="F15" s="28" t="s">
        <v>89</v>
      </c>
      <c r="G15" s="29" t="s">
        <v>1013</v>
      </c>
      <c r="H15" s="29" t="s">
        <v>1014</v>
      </c>
      <c r="I15" s="28" t="s">
        <v>872</v>
      </c>
      <c r="J15" s="28" t="s">
        <v>872</v>
      </c>
      <c r="K15" s="28" t="s">
        <v>872</v>
      </c>
      <c r="L15" s="28" t="s">
        <v>872</v>
      </c>
      <c r="M15" s="28" t="s">
        <v>872</v>
      </c>
      <c r="N15" s="28" t="s">
        <v>872</v>
      </c>
      <c r="O15" s="28" t="s">
        <v>872</v>
      </c>
      <c r="P15" s="28" t="s">
        <v>872</v>
      </c>
      <c r="Q15" s="28" t="s">
        <v>880</v>
      </c>
      <c r="R15" s="28" t="s">
        <v>880</v>
      </c>
      <c r="S15" s="28" t="s">
        <v>880</v>
      </c>
      <c r="T15" s="28" t="s">
        <v>880</v>
      </c>
      <c r="U15" s="28" t="s">
        <v>880</v>
      </c>
      <c r="V15" s="28" t="s">
        <v>880</v>
      </c>
      <c r="W15" s="29"/>
    </row>
    <row r="16" customFormat="false" ht="30" hidden="false" customHeight="true" outlineLevel="0" collapsed="false">
      <c r="A16" s="28" t="n">
        <v>8</v>
      </c>
      <c r="B16" s="28" t="s">
        <v>955</v>
      </c>
      <c r="C16" s="28" t="s">
        <v>117</v>
      </c>
      <c r="D16" s="29" t="s">
        <v>1015</v>
      </c>
      <c r="E16" s="28" t="n">
        <v>6</v>
      </c>
      <c r="F16" s="28" t="s">
        <v>112</v>
      </c>
      <c r="G16" s="29" t="s">
        <v>1016</v>
      </c>
      <c r="H16" s="29" t="s">
        <v>1017</v>
      </c>
      <c r="I16" s="28" t="s">
        <v>880</v>
      </c>
      <c r="J16" s="28" t="s">
        <v>880</v>
      </c>
      <c r="K16" s="28" t="s">
        <v>880</v>
      </c>
      <c r="L16" s="28" t="s">
        <v>880</v>
      </c>
      <c r="M16" s="28" t="s">
        <v>880</v>
      </c>
      <c r="N16" s="28" t="s">
        <v>880</v>
      </c>
      <c r="O16" s="28" t="s">
        <v>880</v>
      </c>
      <c r="P16" s="28" t="s">
        <v>880</v>
      </c>
      <c r="Q16" s="28" t="s">
        <v>872</v>
      </c>
      <c r="R16" s="28" t="s">
        <v>872</v>
      </c>
      <c r="S16" s="28" t="s">
        <v>872</v>
      </c>
      <c r="T16" s="28" t="s">
        <v>880</v>
      </c>
      <c r="U16" s="28" t="s">
        <v>872</v>
      </c>
      <c r="V16" s="28" t="s">
        <v>872</v>
      </c>
      <c r="W16" s="29"/>
    </row>
    <row r="17" customFormat="false" ht="15" hidden="false" customHeight="true" outlineLevel="0" collapsed="false">
      <c r="A17" s="28" t="n">
        <v>9</v>
      </c>
      <c r="B17" s="28" t="s">
        <v>955</v>
      </c>
      <c r="C17" s="28" t="s">
        <v>121</v>
      </c>
      <c r="D17" s="29" t="s">
        <v>1018</v>
      </c>
      <c r="E17" s="28" t="n">
        <v>3</v>
      </c>
      <c r="F17" s="28" t="s">
        <v>117</v>
      </c>
      <c r="G17" s="29" t="s">
        <v>1016</v>
      </c>
      <c r="H17" s="29" t="s">
        <v>1019</v>
      </c>
      <c r="I17" s="28" t="s">
        <v>872</v>
      </c>
      <c r="J17" s="28" t="s">
        <v>880</v>
      </c>
      <c r="K17" s="28" t="s">
        <v>880</v>
      </c>
      <c r="L17" s="28" t="s">
        <v>872</v>
      </c>
      <c r="M17" s="28" t="s">
        <v>880</v>
      </c>
      <c r="N17" s="28" t="s">
        <v>880</v>
      </c>
      <c r="O17" s="28" t="s">
        <v>880</v>
      </c>
      <c r="P17" s="28" t="s">
        <v>872</v>
      </c>
      <c r="Q17" s="28" t="s">
        <v>872</v>
      </c>
      <c r="R17" s="28" t="s">
        <v>872</v>
      </c>
      <c r="S17" s="28" t="s">
        <v>872</v>
      </c>
      <c r="T17" s="28" t="s">
        <v>880</v>
      </c>
      <c r="U17" s="28" t="s">
        <v>872</v>
      </c>
      <c r="V17" s="28" t="s">
        <v>880</v>
      </c>
      <c r="W17" s="29"/>
    </row>
    <row r="18" customFormat="false" ht="20.25" hidden="false" customHeight="true" outlineLevel="0" collapsed="false">
      <c r="A18" s="28" t="n">
        <v>10</v>
      </c>
      <c r="B18" s="28" t="s">
        <v>955</v>
      </c>
      <c r="C18" s="28" t="s">
        <v>125</v>
      </c>
      <c r="D18" s="29" t="s">
        <v>1020</v>
      </c>
      <c r="E18" s="28" t="n">
        <v>5</v>
      </c>
      <c r="F18" s="28" t="s">
        <v>121</v>
      </c>
      <c r="G18" s="29" t="s">
        <v>1002</v>
      </c>
      <c r="H18" s="29" t="s">
        <v>1021</v>
      </c>
      <c r="I18" s="28" t="s">
        <v>880</v>
      </c>
      <c r="J18" s="28" t="s">
        <v>880</v>
      </c>
      <c r="K18" s="28" t="s">
        <v>880</v>
      </c>
      <c r="L18" s="28" t="s">
        <v>880</v>
      </c>
      <c r="M18" s="28" t="s">
        <v>880</v>
      </c>
      <c r="N18" s="28" t="s">
        <v>880</v>
      </c>
      <c r="O18" s="28" t="s">
        <v>880</v>
      </c>
      <c r="P18" s="28" t="s">
        <v>880</v>
      </c>
      <c r="Q18" s="28" t="s">
        <v>880</v>
      </c>
      <c r="R18" s="28" t="s">
        <v>880</v>
      </c>
      <c r="S18" s="28" t="s">
        <v>880</v>
      </c>
      <c r="T18" s="28" t="s">
        <v>872</v>
      </c>
      <c r="U18" s="28" t="s">
        <v>880</v>
      </c>
      <c r="V18" s="28" t="s">
        <v>880</v>
      </c>
      <c r="W18" s="29"/>
    </row>
    <row r="19" customFormat="false" ht="20.25" hidden="false" customHeight="true" outlineLevel="0" collapsed="false">
      <c r="A19" s="28" t="n">
        <v>11</v>
      </c>
      <c r="B19" s="28" t="s">
        <v>955</v>
      </c>
      <c r="C19" s="28" t="s">
        <v>129</v>
      </c>
      <c r="D19" s="29" t="s">
        <v>1022</v>
      </c>
      <c r="E19" s="28" t="n">
        <v>4</v>
      </c>
      <c r="F19" s="28" t="s">
        <v>125</v>
      </c>
      <c r="G19" s="29" t="s">
        <v>91</v>
      </c>
      <c r="H19" s="29" t="s">
        <v>1023</v>
      </c>
      <c r="I19" s="28" t="s">
        <v>872</v>
      </c>
      <c r="J19" s="28" t="s">
        <v>872</v>
      </c>
      <c r="K19" s="28" t="s">
        <v>872</v>
      </c>
      <c r="L19" s="28" t="s">
        <v>880</v>
      </c>
      <c r="M19" s="28" t="s">
        <v>880</v>
      </c>
      <c r="N19" s="28" t="s">
        <v>872</v>
      </c>
      <c r="O19" s="28" t="s">
        <v>880</v>
      </c>
      <c r="P19" s="28" t="s">
        <v>880</v>
      </c>
      <c r="Q19" s="28" t="s">
        <v>880</v>
      </c>
      <c r="R19" s="28" t="s">
        <v>880</v>
      </c>
      <c r="S19" s="28" t="s">
        <v>880</v>
      </c>
      <c r="T19" s="28" t="s">
        <v>880</v>
      </c>
      <c r="U19" s="28" t="s">
        <v>880</v>
      </c>
      <c r="V19" s="28" t="s">
        <v>880</v>
      </c>
      <c r="W19" s="29"/>
    </row>
    <row r="20" customFormat="false" ht="20.25" hidden="false" customHeight="true" outlineLevel="0" collapsed="false">
      <c r="A20" s="28" t="n">
        <v>12</v>
      </c>
      <c r="B20" s="28" t="s">
        <v>955</v>
      </c>
      <c r="C20" s="28" t="s">
        <v>132</v>
      </c>
      <c r="D20" s="29" t="s">
        <v>1024</v>
      </c>
      <c r="E20" s="28" t="n">
        <v>1</v>
      </c>
      <c r="F20" s="28" t="s">
        <v>129</v>
      </c>
      <c r="G20" s="29" t="s">
        <v>72</v>
      </c>
      <c r="H20" s="29" t="s">
        <v>1009</v>
      </c>
      <c r="I20" s="28" t="s">
        <v>872</v>
      </c>
      <c r="J20" s="28" t="s">
        <v>872</v>
      </c>
      <c r="K20" s="28" t="s">
        <v>872</v>
      </c>
      <c r="L20" s="28" t="s">
        <v>872</v>
      </c>
      <c r="M20" s="28" t="s">
        <v>872</v>
      </c>
      <c r="N20" s="28" t="s">
        <v>872</v>
      </c>
      <c r="O20" s="28" t="s">
        <v>872</v>
      </c>
      <c r="P20" s="28" t="s">
        <v>872</v>
      </c>
      <c r="Q20" s="28" t="s">
        <v>872</v>
      </c>
      <c r="R20" s="28" t="s">
        <v>872</v>
      </c>
      <c r="S20" s="28" t="s">
        <v>872</v>
      </c>
      <c r="T20" s="28" t="s">
        <v>872</v>
      </c>
      <c r="U20" s="28" t="s">
        <v>872</v>
      </c>
      <c r="V20" s="28" t="s">
        <v>872</v>
      </c>
      <c r="W20" s="29"/>
    </row>
    <row r="21" customFormat="false" ht="15" hidden="false" customHeight="true" outlineLevel="0" collapsed="false">
      <c r="A21" s="30"/>
      <c r="B21" s="30"/>
      <c r="C21" s="30"/>
      <c r="D21" s="31" t="s">
        <v>1025</v>
      </c>
      <c r="E21" s="32" t="n">
        <f aca="false">SUM(E15:E20)</f>
        <v>23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3" customFormat="false" ht="15" hidden="false" customHeight="true" outlineLevel="0" collapsed="false">
      <c r="A23" s="27" t="s">
        <v>1026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 customFormat="false" ht="20.25" hidden="false" customHeight="true" outlineLevel="0" collapsed="false">
      <c r="A24" s="28" t="n">
        <v>13</v>
      </c>
      <c r="B24" s="28" t="s">
        <v>962</v>
      </c>
      <c r="C24" s="28" t="s">
        <v>162</v>
      </c>
      <c r="D24" s="29" t="s">
        <v>1027</v>
      </c>
      <c r="E24" s="28" t="n">
        <v>7</v>
      </c>
      <c r="F24" s="28" t="s">
        <v>132</v>
      </c>
      <c r="G24" s="29" t="s">
        <v>1028</v>
      </c>
      <c r="H24" s="29" t="s">
        <v>1029</v>
      </c>
      <c r="I24" s="28" t="s">
        <v>872</v>
      </c>
      <c r="J24" s="28" t="s">
        <v>872</v>
      </c>
      <c r="K24" s="28" t="s">
        <v>872</v>
      </c>
      <c r="L24" s="28" t="s">
        <v>872</v>
      </c>
      <c r="M24" s="28" t="s">
        <v>872</v>
      </c>
      <c r="N24" s="28" t="s">
        <v>872</v>
      </c>
      <c r="O24" s="28" t="s">
        <v>872</v>
      </c>
      <c r="P24" s="28" t="s">
        <v>872</v>
      </c>
      <c r="Q24" s="28" t="s">
        <v>880</v>
      </c>
      <c r="R24" s="28" t="s">
        <v>880</v>
      </c>
      <c r="S24" s="28" t="s">
        <v>880</v>
      </c>
      <c r="T24" s="28" t="s">
        <v>880</v>
      </c>
      <c r="U24" s="28" t="s">
        <v>880</v>
      </c>
      <c r="V24" s="28" t="s">
        <v>880</v>
      </c>
      <c r="W24" s="29"/>
    </row>
    <row r="25" customFormat="false" ht="20.25" hidden="false" customHeight="true" outlineLevel="0" collapsed="false">
      <c r="A25" s="28" t="n">
        <v>14</v>
      </c>
      <c r="B25" s="28" t="s">
        <v>962</v>
      </c>
      <c r="C25" s="28" t="s">
        <v>167</v>
      </c>
      <c r="D25" s="29" t="s">
        <v>1030</v>
      </c>
      <c r="E25" s="28" t="n">
        <v>4</v>
      </c>
      <c r="F25" s="28" t="s">
        <v>162</v>
      </c>
      <c r="G25" s="29" t="s">
        <v>91</v>
      </c>
      <c r="H25" s="29" t="s">
        <v>1031</v>
      </c>
      <c r="I25" s="28" t="s">
        <v>872</v>
      </c>
      <c r="J25" s="28" t="s">
        <v>872</v>
      </c>
      <c r="K25" s="28" t="s">
        <v>872</v>
      </c>
      <c r="L25" s="28" t="s">
        <v>872</v>
      </c>
      <c r="M25" s="28" t="s">
        <v>872</v>
      </c>
      <c r="N25" s="28" t="s">
        <v>872</v>
      </c>
      <c r="O25" s="28" t="s">
        <v>872</v>
      </c>
      <c r="P25" s="28" t="s">
        <v>872</v>
      </c>
      <c r="Q25" s="28" t="s">
        <v>880</v>
      </c>
      <c r="R25" s="28" t="s">
        <v>880</v>
      </c>
      <c r="S25" s="28" t="s">
        <v>880</v>
      </c>
      <c r="T25" s="28" t="s">
        <v>880</v>
      </c>
      <c r="U25" s="28" t="s">
        <v>880</v>
      </c>
      <c r="V25" s="28" t="s">
        <v>880</v>
      </c>
      <c r="W25" s="29"/>
    </row>
    <row r="26" customFormat="false" ht="20.25" hidden="false" customHeight="true" outlineLevel="0" collapsed="false">
      <c r="A26" s="28" t="n">
        <v>15</v>
      </c>
      <c r="B26" s="28" t="s">
        <v>962</v>
      </c>
      <c r="C26" s="28" t="s">
        <v>171</v>
      </c>
      <c r="D26" s="29" t="s">
        <v>1032</v>
      </c>
      <c r="E26" s="28" t="n">
        <v>3</v>
      </c>
      <c r="F26" s="28" t="s">
        <v>167</v>
      </c>
      <c r="G26" s="29" t="s">
        <v>91</v>
      </c>
      <c r="H26" s="29" t="s">
        <v>880</v>
      </c>
      <c r="I26" s="28" t="s">
        <v>872</v>
      </c>
      <c r="J26" s="28" t="s">
        <v>872</v>
      </c>
      <c r="K26" s="28" t="s">
        <v>872</v>
      </c>
      <c r="L26" s="28" t="s">
        <v>872</v>
      </c>
      <c r="M26" s="28" t="s">
        <v>872</v>
      </c>
      <c r="N26" s="28" t="s">
        <v>872</v>
      </c>
      <c r="O26" s="28" t="s">
        <v>880</v>
      </c>
      <c r="P26" s="28" t="s">
        <v>880</v>
      </c>
      <c r="Q26" s="28" t="s">
        <v>880</v>
      </c>
      <c r="R26" s="28" t="s">
        <v>880</v>
      </c>
      <c r="S26" s="28" t="s">
        <v>880</v>
      </c>
      <c r="T26" s="28" t="s">
        <v>880</v>
      </c>
      <c r="U26" s="28" t="s">
        <v>880</v>
      </c>
      <c r="V26" s="28" t="s">
        <v>880</v>
      </c>
      <c r="W26" s="29"/>
    </row>
    <row r="27" customFormat="false" ht="20.25" hidden="false" customHeight="true" outlineLevel="0" collapsed="false">
      <c r="A27" s="28" t="n">
        <v>16</v>
      </c>
      <c r="B27" s="28" t="s">
        <v>962</v>
      </c>
      <c r="C27" s="28" t="s">
        <v>175</v>
      </c>
      <c r="D27" s="29" t="s">
        <v>1033</v>
      </c>
      <c r="E27" s="28" t="n">
        <v>2</v>
      </c>
      <c r="F27" s="28" t="s">
        <v>171</v>
      </c>
      <c r="G27" s="29" t="s">
        <v>1034</v>
      </c>
      <c r="H27" s="29" t="s">
        <v>1035</v>
      </c>
      <c r="I27" s="28" t="s">
        <v>880</v>
      </c>
      <c r="J27" s="28" t="s">
        <v>880</v>
      </c>
      <c r="K27" s="28" t="s">
        <v>880</v>
      </c>
      <c r="L27" s="28" t="s">
        <v>880</v>
      </c>
      <c r="M27" s="28" t="s">
        <v>880</v>
      </c>
      <c r="N27" s="28" t="s">
        <v>880</v>
      </c>
      <c r="O27" s="28" t="s">
        <v>880</v>
      </c>
      <c r="P27" s="28" t="s">
        <v>880</v>
      </c>
      <c r="Q27" s="28" t="s">
        <v>872</v>
      </c>
      <c r="R27" s="28" t="s">
        <v>872</v>
      </c>
      <c r="S27" s="28" t="s">
        <v>872</v>
      </c>
      <c r="T27" s="28" t="s">
        <v>872</v>
      </c>
      <c r="U27" s="28" t="s">
        <v>872</v>
      </c>
      <c r="V27" s="28" t="s">
        <v>872</v>
      </c>
      <c r="W27" s="29"/>
    </row>
    <row r="28" customFormat="false" ht="20.25" hidden="false" customHeight="true" outlineLevel="0" collapsed="false">
      <c r="A28" s="28" t="n">
        <v>17</v>
      </c>
      <c r="B28" s="28" t="s">
        <v>962</v>
      </c>
      <c r="C28" s="28" t="s">
        <v>180</v>
      </c>
      <c r="D28" s="29" t="s">
        <v>1036</v>
      </c>
      <c r="E28" s="28" t="n">
        <v>2</v>
      </c>
      <c r="F28" s="28" t="s">
        <v>175</v>
      </c>
      <c r="G28" s="29" t="s">
        <v>1002</v>
      </c>
      <c r="H28" s="29" t="s">
        <v>1037</v>
      </c>
      <c r="I28" s="28" t="s">
        <v>880</v>
      </c>
      <c r="J28" s="28" t="s">
        <v>880</v>
      </c>
      <c r="K28" s="28" t="s">
        <v>880</v>
      </c>
      <c r="L28" s="28" t="s">
        <v>880</v>
      </c>
      <c r="M28" s="28" t="s">
        <v>880</v>
      </c>
      <c r="N28" s="28" t="s">
        <v>880</v>
      </c>
      <c r="O28" s="28" t="s">
        <v>880</v>
      </c>
      <c r="P28" s="28" t="s">
        <v>880</v>
      </c>
      <c r="Q28" s="28" t="s">
        <v>880</v>
      </c>
      <c r="R28" s="28" t="s">
        <v>872</v>
      </c>
      <c r="S28" s="28" t="s">
        <v>880</v>
      </c>
      <c r="T28" s="28" t="s">
        <v>880</v>
      </c>
      <c r="U28" s="28" t="s">
        <v>880</v>
      </c>
      <c r="V28" s="28" t="s">
        <v>880</v>
      </c>
      <c r="W28" s="29"/>
    </row>
    <row r="29" customFormat="false" ht="20.25" hidden="false" customHeight="true" outlineLevel="0" collapsed="false">
      <c r="A29" s="28" t="n">
        <v>18</v>
      </c>
      <c r="B29" s="28" t="s">
        <v>962</v>
      </c>
      <c r="C29" s="28" t="s">
        <v>184</v>
      </c>
      <c r="D29" s="29" t="s">
        <v>1038</v>
      </c>
      <c r="E29" s="28" t="n">
        <v>1</v>
      </c>
      <c r="F29" s="28" t="s">
        <v>180</v>
      </c>
      <c r="G29" s="29" t="s">
        <v>96</v>
      </c>
      <c r="H29" s="29" t="s">
        <v>1039</v>
      </c>
      <c r="I29" s="28" t="s">
        <v>880</v>
      </c>
      <c r="J29" s="28" t="s">
        <v>880</v>
      </c>
      <c r="K29" s="28" t="s">
        <v>880</v>
      </c>
      <c r="L29" s="28" t="s">
        <v>880</v>
      </c>
      <c r="M29" s="28" t="s">
        <v>880</v>
      </c>
      <c r="N29" s="28" t="s">
        <v>880</v>
      </c>
      <c r="O29" s="28" t="s">
        <v>880</v>
      </c>
      <c r="P29" s="28" t="s">
        <v>880</v>
      </c>
      <c r="Q29" s="28" t="s">
        <v>880</v>
      </c>
      <c r="R29" s="28" t="s">
        <v>880</v>
      </c>
      <c r="S29" s="28" t="s">
        <v>872</v>
      </c>
      <c r="T29" s="28" t="s">
        <v>880</v>
      </c>
      <c r="U29" s="28" t="s">
        <v>880</v>
      </c>
      <c r="V29" s="28" t="s">
        <v>880</v>
      </c>
      <c r="W29" s="29"/>
    </row>
    <row r="30" customFormat="false" ht="20.25" hidden="false" customHeight="true" outlineLevel="0" collapsed="false">
      <c r="A30" s="28" t="n">
        <v>19</v>
      </c>
      <c r="B30" s="28" t="s">
        <v>962</v>
      </c>
      <c r="C30" s="28" t="s">
        <v>188</v>
      </c>
      <c r="D30" s="29" t="s">
        <v>1040</v>
      </c>
      <c r="E30" s="28" t="n">
        <v>3</v>
      </c>
      <c r="F30" s="28" t="s">
        <v>184</v>
      </c>
      <c r="G30" s="29" t="s">
        <v>91</v>
      </c>
      <c r="H30" s="29" t="s">
        <v>880</v>
      </c>
      <c r="I30" s="28" t="s">
        <v>872</v>
      </c>
      <c r="J30" s="28" t="s">
        <v>872</v>
      </c>
      <c r="K30" s="28" t="s">
        <v>872</v>
      </c>
      <c r="L30" s="28" t="s">
        <v>872</v>
      </c>
      <c r="M30" s="28" t="s">
        <v>872</v>
      </c>
      <c r="N30" s="28" t="s">
        <v>872</v>
      </c>
      <c r="O30" s="28" t="s">
        <v>872</v>
      </c>
      <c r="P30" s="28" t="s">
        <v>872</v>
      </c>
      <c r="Q30" s="28" t="s">
        <v>880</v>
      </c>
      <c r="R30" s="28" t="s">
        <v>880</v>
      </c>
      <c r="S30" s="28" t="s">
        <v>880</v>
      </c>
      <c r="T30" s="28" t="s">
        <v>880</v>
      </c>
      <c r="U30" s="28" t="s">
        <v>880</v>
      </c>
      <c r="V30" s="28" t="s">
        <v>880</v>
      </c>
      <c r="W30" s="29"/>
    </row>
    <row r="31" customFormat="false" ht="15" hidden="false" customHeight="true" outlineLevel="0" collapsed="false">
      <c r="A31" s="30"/>
      <c r="B31" s="30"/>
      <c r="C31" s="30"/>
      <c r="D31" s="31" t="s">
        <v>1041</v>
      </c>
      <c r="E31" s="32" t="n">
        <f aca="false">SUM(E24:E30)</f>
        <v>22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3" customFormat="false" ht="15" hidden="false" customHeight="true" outlineLevel="0" collapsed="false">
      <c r="A33" s="27" t="s">
        <v>1042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</row>
    <row r="34" customFormat="false" ht="20.25" hidden="false" customHeight="true" outlineLevel="0" collapsed="false">
      <c r="A34" s="28" t="n">
        <v>20</v>
      </c>
      <c r="B34" s="28" t="s">
        <v>967</v>
      </c>
      <c r="C34" s="28" t="s">
        <v>203</v>
      </c>
      <c r="D34" s="29" t="s">
        <v>1043</v>
      </c>
      <c r="E34" s="28" t="n">
        <v>4</v>
      </c>
      <c r="F34" s="28" t="s">
        <v>188</v>
      </c>
      <c r="G34" s="29" t="s">
        <v>91</v>
      </c>
      <c r="H34" s="29" t="s">
        <v>1044</v>
      </c>
      <c r="I34" s="28" t="s">
        <v>872</v>
      </c>
      <c r="J34" s="28" t="s">
        <v>872</v>
      </c>
      <c r="K34" s="28" t="s">
        <v>872</v>
      </c>
      <c r="L34" s="28" t="s">
        <v>872</v>
      </c>
      <c r="M34" s="28" t="s">
        <v>872</v>
      </c>
      <c r="N34" s="28" t="s">
        <v>872</v>
      </c>
      <c r="O34" s="28" t="s">
        <v>880</v>
      </c>
      <c r="P34" s="28" t="s">
        <v>880</v>
      </c>
      <c r="Q34" s="28" t="s">
        <v>880</v>
      </c>
      <c r="R34" s="28" t="s">
        <v>880</v>
      </c>
      <c r="S34" s="28" t="s">
        <v>880</v>
      </c>
      <c r="T34" s="28" t="s">
        <v>880</v>
      </c>
      <c r="U34" s="28" t="s">
        <v>880</v>
      </c>
      <c r="V34" s="28" t="s">
        <v>880</v>
      </c>
      <c r="W34" s="29"/>
    </row>
    <row r="35" customFormat="false" ht="20.25" hidden="false" customHeight="true" outlineLevel="0" collapsed="false">
      <c r="A35" s="28" t="n">
        <v>21</v>
      </c>
      <c r="B35" s="28" t="s">
        <v>967</v>
      </c>
      <c r="C35" s="28" t="s">
        <v>207</v>
      </c>
      <c r="D35" s="29" t="s">
        <v>1045</v>
      </c>
      <c r="E35" s="28" t="n">
        <v>3</v>
      </c>
      <c r="F35" s="28" t="s">
        <v>203</v>
      </c>
      <c r="G35" s="29" t="s">
        <v>91</v>
      </c>
      <c r="H35" s="29" t="s">
        <v>880</v>
      </c>
      <c r="I35" s="28" t="s">
        <v>872</v>
      </c>
      <c r="J35" s="28" t="s">
        <v>872</v>
      </c>
      <c r="K35" s="28" t="s">
        <v>872</v>
      </c>
      <c r="L35" s="28" t="s">
        <v>872</v>
      </c>
      <c r="M35" s="28" t="s">
        <v>872</v>
      </c>
      <c r="N35" s="28" t="s">
        <v>872</v>
      </c>
      <c r="O35" s="28" t="s">
        <v>872</v>
      </c>
      <c r="P35" s="28" t="s">
        <v>872</v>
      </c>
      <c r="Q35" s="28" t="s">
        <v>880</v>
      </c>
      <c r="R35" s="28" t="s">
        <v>880</v>
      </c>
      <c r="S35" s="28" t="s">
        <v>880</v>
      </c>
      <c r="T35" s="28" t="s">
        <v>880</v>
      </c>
      <c r="U35" s="28" t="s">
        <v>880</v>
      </c>
      <c r="V35" s="28" t="s">
        <v>880</v>
      </c>
      <c r="W35" s="29"/>
    </row>
    <row r="36" customFormat="false" ht="20.25" hidden="false" customHeight="true" outlineLevel="0" collapsed="false">
      <c r="A36" s="28" t="n">
        <v>22</v>
      </c>
      <c r="B36" s="28" t="s">
        <v>967</v>
      </c>
      <c r="C36" s="28" t="s">
        <v>212</v>
      </c>
      <c r="D36" s="29" t="s">
        <v>1046</v>
      </c>
      <c r="E36" s="28" t="n">
        <v>1</v>
      </c>
      <c r="F36" s="28" t="s">
        <v>207</v>
      </c>
      <c r="G36" s="29" t="s">
        <v>91</v>
      </c>
      <c r="H36" s="29" t="s">
        <v>1047</v>
      </c>
      <c r="I36" s="28" t="s">
        <v>880</v>
      </c>
      <c r="J36" s="28" t="s">
        <v>880</v>
      </c>
      <c r="K36" s="28" t="s">
        <v>880</v>
      </c>
      <c r="L36" s="28" t="s">
        <v>880</v>
      </c>
      <c r="M36" s="28" t="s">
        <v>880</v>
      </c>
      <c r="N36" s="28" t="s">
        <v>880</v>
      </c>
      <c r="O36" s="28" t="s">
        <v>872</v>
      </c>
      <c r="P36" s="28" t="s">
        <v>880</v>
      </c>
      <c r="Q36" s="28" t="s">
        <v>880</v>
      </c>
      <c r="R36" s="28" t="s">
        <v>880</v>
      </c>
      <c r="S36" s="28" t="s">
        <v>880</v>
      </c>
      <c r="T36" s="28" t="s">
        <v>880</v>
      </c>
      <c r="U36" s="28" t="s">
        <v>880</v>
      </c>
      <c r="V36" s="28" t="s">
        <v>880</v>
      </c>
      <c r="W36" s="29"/>
    </row>
    <row r="37" customFormat="false" ht="20.25" hidden="false" customHeight="true" outlineLevel="0" collapsed="false">
      <c r="A37" s="28" t="n">
        <v>23</v>
      </c>
      <c r="B37" s="28" t="s">
        <v>967</v>
      </c>
      <c r="C37" s="28" t="s">
        <v>215</v>
      </c>
      <c r="D37" s="29" t="s">
        <v>1048</v>
      </c>
      <c r="E37" s="28" t="n">
        <v>3</v>
      </c>
      <c r="F37" s="28" t="s">
        <v>212</v>
      </c>
      <c r="G37" s="29" t="s">
        <v>1049</v>
      </c>
      <c r="H37" s="29" t="s">
        <v>1050</v>
      </c>
      <c r="I37" s="28" t="s">
        <v>880</v>
      </c>
      <c r="J37" s="28" t="s">
        <v>880</v>
      </c>
      <c r="K37" s="28" t="s">
        <v>880</v>
      </c>
      <c r="L37" s="28" t="s">
        <v>880</v>
      </c>
      <c r="M37" s="28" t="s">
        <v>880</v>
      </c>
      <c r="N37" s="28" t="s">
        <v>880</v>
      </c>
      <c r="O37" s="28" t="s">
        <v>880</v>
      </c>
      <c r="P37" s="28" t="s">
        <v>880</v>
      </c>
      <c r="Q37" s="28" t="s">
        <v>880</v>
      </c>
      <c r="R37" s="28" t="s">
        <v>880</v>
      </c>
      <c r="S37" s="28" t="s">
        <v>880</v>
      </c>
      <c r="T37" s="28" t="s">
        <v>880</v>
      </c>
      <c r="U37" s="28" t="s">
        <v>872</v>
      </c>
      <c r="V37" s="28" t="s">
        <v>880</v>
      </c>
      <c r="W37" s="29"/>
    </row>
    <row r="38" customFormat="false" ht="20.25" hidden="false" customHeight="true" outlineLevel="0" collapsed="false">
      <c r="A38" s="28" t="n">
        <v>24</v>
      </c>
      <c r="B38" s="28" t="s">
        <v>967</v>
      </c>
      <c r="C38" s="28" t="s">
        <v>219</v>
      </c>
      <c r="D38" s="29" t="s">
        <v>1051</v>
      </c>
      <c r="E38" s="28" t="n">
        <v>3</v>
      </c>
      <c r="F38" s="28" t="s">
        <v>215</v>
      </c>
      <c r="G38" s="29" t="s">
        <v>1052</v>
      </c>
      <c r="H38" s="29" t="s">
        <v>1053</v>
      </c>
      <c r="I38" s="28" t="s">
        <v>880</v>
      </c>
      <c r="J38" s="28" t="s">
        <v>880</v>
      </c>
      <c r="K38" s="28" t="s">
        <v>872</v>
      </c>
      <c r="L38" s="28" t="s">
        <v>880</v>
      </c>
      <c r="M38" s="28" t="s">
        <v>880</v>
      </c>
      <c r="N38" s="28" t="s">
        <v>880</v>
      </c>
      <c r="O38" s="28" t="s">
        <v>880</v>
      </c>
      <c r="P38" s="28" t="s">
        <v>880</v>
      </c>
      <c r="Q38" s="28" t="s">
        <v>872</v>
      </c>
      <c r="R38" s="28" t="s">
        <v>872</v>
      </c>
      <c r="S38" s="28" t="s">
        <v>872</v>
      </c>
      <c r="T38" s="28" t="s">
        <v>880</v>
      </c>
      <c r="U38" s="28" t="s">
        <v>880</v>
      </c>
      <c r="V38" s="28" t="s">
        <v>872</v>
      </c>
      <c r="W38" s="29"/>
    </row>
    <row r="39" customFormat="false" ht="15" hidden="false" customHeight="true" outlineLevel="0" collapsed="false">
      <c r="A39" s="28" t="n">
        <v>25</v>
      </c>
      <c r="B39" s="28" t="s">
        <v>967</v>
      </c>
      <c r="C39" s="28" t="s">
        <v>223</v>
      </c>
      <c r="D39" s="29" t="s">
        <v>1054</v>
      </c>
      <c r="E39" s="28" t="n">
        <v>1</v>
      </c>
      <c r="F39" s="28" t="s">
        <v>219</v>
      </c>
      <c r="G39" s="29" t="s">
        <v>1016</v>
      </c>
      <c r="H39" s="29" t="s">
        <v>1055</v>
      </c>
      <c r="I39" s="28" t="s">
        <v>880</v>
      </c>
      <c r="J39" s="28" t="s">
        <v>880</v>
      </c>
      <c r="K39" s="28" t="s">
        <v>880</v>
      </c>
      <c r="L39" s="28" t="s">
        <v>880</v>
      </c>
      <c r="M39" s="28" t="s">
        <v>880</v>
      </c>
      <c r="N39" s="28" t="s">
        <v>880</v>
      </c>
      <c r="O39" s="28" t="s">
        <v>880</v>
      </c>
      <c r="P39" s="28" t="s">
        <v>880</v>
      </c>
      <c r="Q39" s="28" t="s">
        <v>872</v>
      </c>
      <c r="R39" s="28" t="s">
        <v>880</v>
      </c>
      <c r="S39" s="28" t="s">
        <v>872</v>
      </c>
      <c r="T39" s="28" t="s">
        <v>880</v>
      </c>
      <c r="U39" s="28" t="s">
        <v>880</v>
      </c>
      <c r="V39" s="28" t="s">
        <v>872</v>
      </c>
      <c r="W39" s="29"/>
    </row>
    <row r="40" customFormat="false" ht="15" hidden="false" customHeight="true" outlineLevel="0" collapsed="false">
      <c r="A40" s="30"/>
      <c r="B40" s="30"/>
      <c r="C40" s="30"/>
      <c r="D40" s="31" t="s">
        <v>1056</v>
      </c>
      <c r="E40" s="32" t="n">
        <f aca="false">SUM(E34:E39)</f>
        <v>15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2" customFormat="false" ht="15" hidden="false" customHeight="true" outlineLevel="0" collapsed="false">
      <c r="A42" s="27" t="s">
        <v>1057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 customFormat="false" ht="20.25" hidden="false" customHeight="true" outlineLevel="0" collapsed="false">
      <c r="A43" s="28" t="n">
        <v>26</v>
      </c>
      <c r="B43" s="28" t="s">
        <v>971</v>
      </c>
      <c r="C43" s="28" t="s">
        <v>227</v>
      </c>
      <c r="D43" s="29" t="s">
        <v>1058</v>
      </c>
      <c r="E43" s="28" t="n">
        <v>2</v>
      </c>
      <c r="F43" s="28" t="s">
        <v>223</v>
      </c>
      <c r="G43" s="29" t="s">
        <v>229</v>
      </c>
      <c r="H43" s="29" t="s">
        <v>1059</v>
      </c>
      <c r="I43" s="28" t="s">
        <v>872</v>
      </c>
      <c r="J43" s="28" t="s">
        <v>872</v>
      </c>
      <c r="K43" s="28" t="s">
        <v>872</v>
      </c>
      <c r="L43" s="28" t="s">
        <v>872</v>
      </c>
      <c r="M43" s="28" t="s">
        <v>872</v>
      </c>
      <c r="N43" s="28" t="s">
        <v>872</v>
      </c>
      <c r="O43" s="28" t="s">
        <v>872</v>
      </c>
      <c r="P43" s="28" t="s">
        <v>872</v>
      </c>
      <c r="Q43" s="28" t="s">
        <v>880</v>
      </c>
      <c r="R43" s="28" t="s">
        <v>880</v>
      </c>
      <c r="S43" s="28" t="s">
        <v>880</v>
      </c>
      <c r="T43" s="28" t="s">
        <v>880</v>
      </c>
      <c r="U43" s="28" t="s">
        <v>880</v>
      </c>
      <c r="V43" s="28" t="s">
        <v>880</v>
      </c>
      <c r="W43" s="29"/>
    </row>
    <row r="44" customFormat="false" ht="30" hidden="false" customHeight="true" outlineLevel="0" collapsed="false">
      <c r="A44" s="28" t="n">
        <v>27</v>
      </c>
      <c r="B44" s="28" t="s">
        <v>971</v>
      </c>
      <c r="C44" s="28" t="s">
        <v>232</v>
      </c>
      <c r="D44" s="29" t="s">
        <v>1060</v>
      </c>
      <c r="E44" s="28" t="n">
        <v>2</v>
      </c>
      <c r="F44" s="28" t="s">
        <v>227</v>
      </c>
      <c r="G44" s="29" t="s">
        <v>1061</v>
      </c>
      <c r="H44" s="29" t="s">
        <v>1050</v>
      </c>
      <c r="I44" s="28" t="s">
        <v>880</v>
      </c>
      <c r="J44" s="28" t="s">
        <v>880</v>
      </c>
      <c r="K44" s="28" t="s">
        <v>880</v>
      </c>
      <c r="L44" s="28" t="s">
        <v>880</v>
      </c>
      <c r="M44" s="28" t="s">
        <v>880</v>
      </c>
      <c r="N44" s="28" t="s">
        <v>880</v>
      </c>
      <c r="O44" s="28" t="s">
        <v>880</v>
      </c>
      <c r="P44" s="28" t="s">
        <v>880</v>
      </c>
      <c r="Q44" s="28" t="s">
        <v>880</v>
      </c>
      <c r="R44" s="28" t="s">
        <v>872</v>
      </c>
      <c r="S44" s="28" t="s">
        <v>872</v>
      </c>
      <c r="T44" s="28" t="s">
        <v>872</v>
      </c>
      <c r="U44" s="28" t="s">
        <v>872</v>
      </c>
      <c r="V44" s="28" t="s">
        <v>880</v>
      </c>
      <c r="W44" s="29"/>
    </row>
    <row r="45" customFormat="false" ht="20.25" hidden="false" customHeight="true" outlineLevel="0" collapsed="false">
      <c r="A45" s="28" t="n">
        <v>28</v>
      </c>
      <c r="B45" s="28" t="s">
        <v>971</v>
      </c>
      <c r="C45" s="28" t="s">
        <v>236</v>
      </c>
      <c r="D45" s="29" t="s">
        <v>1062</v>
      </c>
      <c r="E45" s="28" t="n">
        <v>1</v>
      </c>
      <c r="F45" s="28" t="s">
        <v>232</v>
      </c>
      <c r="G45" s="29" t="s">
        <v>72</v>
      </c>
      <c r="H45" s="29" t="s">
        <v>1009</v>
      </c>
      <c r="I45" s="28" t="s">
        <v>872</v>
      </c>
      <c r="J45" s="28" t="s">
        <v>872</v>
      </c>
      <c r="K45" s="28" t="s">
        <v>872</v>
      </c>
      <c r="L45" s="28" t="s">
        <v>872</v>
      </c>
      <c r="M45" s="28" t="s">
        <v>872</v>
      </c>
      <c r="N45" s="28" t="s">
        <v>872</v>
      </c>
      <c r="O45" s="28" t="s">
        <v>872</v>
      </c>
      <c r="P45" s="28" t="s">
        <v>872</v>
      </c>
      <c r="Q45" s="28" t="s">
        <v>872</v>
      </c>
      <c r="R45" s="28" t="s">
        <v>872</v>
      </c>
      <c r="S45" s="28" t="s">
        <v>872</v>
      </c>
      <c r="T45" s="28" t="s">
        <v>872</v>
      </c>
      <c r="U45" s="28" t="s">
        <v>872</v>
      </c>
      <c r="V45" s="28" t="s">
        <v>872</v>
      </c>
      <c r="W45" s="29"/>
    </row>
    <row r="46" customFormat="false" ht="20.25" hidden="false" customHeight="true" outlineLevel="0" collapsed="false">
      <c r="A46" s="28" t="n">
        <v>29</v>
      </c>
      <c r="B46" s="28" t="s">
        <v>971</v>
      </c>
      <c r="C46" s="28" t="s">
        <v>240</v>
      </c>
      <c r="D46" s="29" t="s">
        <v>1063</v>
      </c>
      <c r="E46" s="28" t="n">
        <v>1</v>
      </c>
      <c r="F46" s="28" t="s">
        <v>236</v>
      </c>
      <c r="G46" s="29" t="s">
        <v>72</v>
      </c>
      <c r="H46" s="29" t="s">
        <v>1064</v>
      </c>
      <c r="I46" s="28" t="s">
        <v>872</v>
      </c>
      <c r="J46" s="28" t="s">
        <v>872</v>
      </c>
      <c r="K46" s="28" t="s">
        <v>872</v>
      </c>
      <c r="L46" s="28" t="s">
        <v>872</v>
      </c>
      <c r="M46" s="28" t="s">
        <v>872</v>
      </c>
      <c r="N46" s="28" t="s">
        <v>872</v>
      </c>
      <c r="O46" s="28" t="s">
        <v>872</v>
      </c>
      <c r="P46" s="28" t="s">
        <v>872</v>
      </c>
      <c r="Q46" s="28" t="s">
        <v>872</v>
      </c>
      <c r="R46" s="28" t="s">
        <v>872</v>
      </c>
      <c r="S46" s="28" t="s">
        <v>872</v>
      </c>
      <c r="T46" s="28" t="s">
        <v>872</v>
      </c>
      <c r="U46" s="28" t="s">
        <v>872</v>
      </c>
      <c r="V46" s="28" t="s">
        <v>872</v>
      </c>
      <c r="W46" s="29"/>
    </row>
    <row r="47" customFormat="false" ht="15" hidden="false" customHeight="true" outlineLevel="0" collapsed="false">
      <c r="A47" s="30"/>
      <c r="B47" s="30"/>
      <c r="C47" s="30"/>
      <c r="D47" s="31" t="s">
        <v>1065</v>
      </c>
      <c r="E47" s="32" t="n">
        <f aca="false">SUM(E43:E46)</f>
        <v>6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9" customFormat="false" ht="15" hidden="false" customHeight="true" outlineLevel="0" collapsed="false">
      <c r="D49" s="33" t="s">
        <v>974</v>
      </c>
      <c r="E49" s="34" t="n">
        <f aca="false">E12+E21+E31+E40+E47</f>
        <v>84</v>
      </c>
    </row>
    <row r="51" customFormat="false" ht="15" hidden="false" customHeight="true" outlineLevel="0" collapsed="false">
      <c r="A51" s="36" t="s">
        <v>1066</v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</row>
    <row r="52" customFormat="false" ht="34.5" hidden="false" customHeight="true" outlineLevel="0" collapsed="false">
      <c r="A52" s="26" t="s">
        <v>58</v>
      </c>
      <c r="B52" s="26" t="s">
        <v>1067</v>
      </c>
      <c r="C52" s="26" t="s">
        <v>942</v>
      </c>
      <c r="D52" s="26" t="s">
        <v>1068</v>
      </c>
      <c r="E52" s="26" t="s">
        <v>944</v>
      </c>
      <c r="F52" s="26" t="s">
        <v>979</v>
      </c>
    </row>
    <row r="53" customFormat="false" ht="78.75" hidden="false" customHeight="true" outlineLevel="0" collapsed="false">
      <c r="A53" s="28" t="n">
        <v>1</v>
      </c>
      <c r="B53" s="29" t="s">
        <v>1069</v>
      </c>
      <c r="C53" s="28" t="s">
        <v>1070</v>
      </c>
      <c r="D53" s="29" t="s">
        <v>1071</v>
      </c>
      <c r="E53" s="28" t="n">
        <v>3</v>
      </c>
      <c r="F53" s="29" t="s">
        <v>1072</v>
      </c>
    </row>
    <row r="54" customFormat="false" ht="49.5" hidden="false" customHeight="true" outlineLevel="0" collapsed="false">
      <c r="A54" s="28" t="n">
        <v>2</v>
      </c>
      <c r="B54" s="29" t="s">
        <v>1073</v>
      </c>
      <c r="C54" s="28" t="s">
        <v>1070</v>
      </c>
      <c r="D54" s="29" t="s">
        <v>1074</v>
      </c>
      <c r="E54" s="28" t="n">
        <v>4</v>
      </c>
      <c r="F54" s="29" t="s">
        <v>1075</v>
      </c>
    </row>
    <row r="55" customFormat="false" ht="78.75" hidden="false" customHeight="true" outlineLevel="0" collapsed="false">
      <c r="A55" s="28" t="n">
        <v>3</v>
      </c>
      <c r="B55" s="29" t="s">
        <v>1076</v>
      </c>
      <c r="C55" s="28" t="s">
        <v>1070</v>
      </c>
      <c r="D55" s="29" t="s">
        <v>1077</v>
      </c>
      <c r="E55" s="28" t="n">
        <v>4</v>
      </c>
      <c r="F55" s="29" t="s">
        <v>1078</v>
      </c>
    </row>
    <row r="56" customFormat="false" ht="69" hidden="false" customHeight="true" outlineLevel="0" collapsed="false">
      <c r="A56" s="28" t="n">
        <v>4</v>
      </c>
      <c r="B56" s="29" t="s">
        <v>1079</v>
      </c>
      <c r="C56" s="28" t="s">
        <v>1070</v>
      </c>
      <c r="D56" s="29" t="s">
        <v>1080</v>
      </c>
      <c r="E56" s="28" t="n">
        <v>5</v>
      </c>
      <c r="F56" s="29" t="s">
        <v>1081</v>
      </c>
    </row>
    <row r="57" customFormat="false" ht="49.5" hidden="false" customHeight="true" outlineLevel="0" collapsed="false">
      <c r="A57" s="28" t="n">
        <v>5</v>
      </c>
      <c r="B57" s="29" t="s">
        <v>1082</v>
      </c>
      <c r="C57" s="28" t="s">
        <v>962</v>
      </c>
      <c r="D57" s="29" t="s">
        <v>1083</v>
      </c>
      <c r="E57" s="28" t="n">
        <v>3</v>
      </c>
      <c r="F57" s="29" t="s">
        <v>1084</v>
      </c>
    </row>
    <row r="58" customFormat="false" ht="59.25" hidden="false" customHeight="true" outlineLevel="0" collapsed="false">
      <c r="A58" s="28" t="n">
        <v>6</v>
      </c>
      <c r="B58" s="29" t="s">
        <v>1085</v>
      </c>
      <c r="C58" s="28" t="s">
        <v>1070</v>
      </c>
      <c r="D58" s="29" t="s">
        <v>1086</v>
      </c>
      <c r="E58" s="28" t="n">
        <v>3</v>
      </c>
      <c r="F58" s="29" t="s">
        <v>1087</v>
      </c>
    </row>
    <row r="59" customFormat="false" ht="59.25" hidden="false" customHeight="true" outlineLevel="0" collapsed="false">
      <c r="A59" s="28" t="n">
        <v>7</v>
      </c>
      <c r="B59" s="29" t="s">
        <v>1088</v>
      </c>
      <c r="C59" s="28" t="s">
        <v>1089</v>
      </c>
      <c r="D59" s="29" t="s">
        <v>1090</v>
      </c>
      <c r="E59" s="28" t="n">
        <v>3</v>
      </c>
      <c r="F59" s="29" t="s">
        <v>1047</v>
      </c>
    </row>
    <row r="60" customFormat="false" ht="69" hidden="false" customHeight="true" outlineLevel="0" collapsed="false">
      <c r="A60" s="28" t="n">
        <v>8</v>
      </c>
      <c r="B60" s="29" t="s">
        <v>1091</v>
      </c>
      <c r="C60" s="28" t="s">
        <v>962</v>
      </c>
      <c r="D60" s="29" t="s">
        <v>1092</v>
      </c>
      <c r="E60" s="28" t="n">
        <v>4</v>
      </c>
      <c r="F60" s="29" t="s">
        <v>1093</v>
      </c>
    </row>
    <row r="61" customFormat="false" ht="49.5" hidden="false" customHeight="true" outlineLevel="0" collapsed="false">
      <c r="A61" s="28" t="n">
        <v>9</v>
      </c>
      <c r="B61" s="29" t="s">
        <v>1094</v>
      </c>
      <c r="C61" s="28" t="s">
        <v>955</v>
      </c>
      <c r="D61" s="29" t="s">
        <v>1095</v>
      </c>
      <c r="E61" s="28" t="n">
        <v>6</v>
      </c>
      <c r="F61" s="29" t="s">
        <v>1096</v>
      </c>
    </row>
    <row r="62" customFormat="false" ht="88.5" hidden="false" customHeight="true" outlineLevel="0" collapsed="false">
      <c r="A62" s="28" t="n">
        <v>10</v>
      </c>
      <c r="B62" s="29" t="s">
        <v>1097</v>
      </c>
      <c r="C62" s="28" t="s">
        <v>1098</v>
      </c>
      <c r="D62" s="29" t="s">
        <v>1099</v>
      </c>
      <c r="E62" s="28" t="n">
        <v>8</v>
      </c>
      <c r="F62" s="29" t="s">
        <v>1100</v>
      </c>
    </row>
    <row r="63" customFormat="false" ht="49.5" hidden="false" customHeight="true" outlineLevel="0" collapsed="false">
      <c r="A63" s="28" t="n">
        <v>11</v>
      </c>
      <c r="B63" s="29" t="s">
        <v>1101</v>
      </c>
      <c r="C63" s="28" t="s">
        <v>1098</v>
      </c>
      <c r="D63" s="29" t="s">
        <v>1102</v>
      </c>
      <c r="E63" s="28" t="n">
        <v>5</v>
      </c>
      <c r="F63" s="29" t="s">
        <v>1103</v>
      </c>
    </row>
    <row r="64" customFormat="false" ht="59.25" hidden="false" customHeight="true" outlineLevel="0" collapsed="false">
      <c r="A64" s="28" t="n">
        <v>12</v>
      </c>
      <c r="B64" s="29" t="s">
        <v>1104</v>
      </c>
      <c r="C64" s="28" t="s">
        <v>955</v>
      </c>
      <c r="D64" s="29" t="s">
        <v>1105</v>
      </c>
      <c r="E64" s="28" t="n">
        <v>5</v>
      </c>
      <c r="F64" s="29" t="s">
        <v>1106</v>
      </c>
    </row>
    <row r="65" customFormat="false" ht="69" hidden="false" customHeight="true" outlineLevel="0" collapsed="false">
      <c r="A65" s="28" t="n">
        <v>13</v>
      </c>
      <c r="B65" s="29" t="s">
        <v>1107</v>
      </c>
      <c r="C65" s="28" t="s">
        <v>967</v>
      </c>
      <c r="D65" s="29" t="s">
        <v>1108</v>
      </c>
      <c r="E65" s="28" t="n">
        <v>5</v>
      </c>
      <c r="F65" s="29" t="s">
        <v>1109</v>
      </c>
    </row>
    <row r="66" customFormat="false" ht="88.5" hidden="false" customHeight="true" outlineLevel="0" collapsed="false">
      <c r="A66" s="28" t="n">
        <v>14</v>
      </c>
      <c r="B66" s="29" t="s">
        <v>1110</v>
      </c>
      <c r="C66" s="28" t="s">
        <v>967</v>
      </c>
      <c r="D66" s="29" t="s">
        <v>1111</v>
      </c>
      <c r="E66" s="28" t="n">
        <v>3</v>
      </c>
      <c r="F66" s="29" t="s">
        <v>1053</v>
      </c>
    </row>
    <row r="67" customFormat="false" ht="15" hidden="false" customHeight="true" outlineLevel="0" collapsed="false">
      <c r="D67" s="37" t="s">
        <v>1112</v>
      </c>
      <c r="E67" s="38" t="n">
        <f aca="false">SUM(E53:E66)</f>
        <v>61</v>
      </c>
    </row>
    <row r="69" customFormat="false" ht="45" hidden="false" customHeight="true" outlineLevel="0" collapsed="false">
      <c r="A69" s="35" t="s">
        <v>1113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</row>
    <row r="70" customFormat="false" ht="30" hidden="false" customHeight="true" outlineLevel="0" collapsed="false">
      <c r="A70" s="35" t="s">
        <v>1114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</row>
  </sheetData>
  <mergeCells count="10">
    <mergeCell ref="A1:W1"/>
    <mergeCell ref="A2:W2"/>
    <mergeCell ref="A5:W5"/>
    <mergeCell ref="A14:W14"/>
    <mergeCell ref="A23:W23"/>
    <mergeCell ref="A33:W33"/>
    <mergeCell ref="A42:W42"/>
    <mergeCell ref="A51:W51"/>
    <mergeCell ref="A69:W69"/>
    <mergeCell ref="A70:W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46"/>
  </cols>
  <sheetData>
    <row r="1" customFormat="false" ht="17.35" hidden="false" customHeight="true" outlineLevel="0" collapsed="false">
      <c r="A1" s="24" t="s">
        <v>1115</v>
      </c>
      <c r="B1" s="24"/>
      <c r="C1" s="24"/>
      <c r="D1" s="24"/>
      <c r="E1" s="24"/>
      <c r="F1" s="24"/>
      <c r="G1" s="24"/>
    </row>
    <row r="2" customFormat="false" ht="20.85" hidden="false" customHeight="true" outlineLevel="0" collapsed="false">
      <c r="A2" s="25" t="s">
        <v>1116</v>
      </c>
      <c r="B2" s="25"/>
      <c r="C2" s="25"/>
      <c r="D2" s="25"/>
      <c r="E2" s="25"/>
      <c r="F2" s="25"/>
      <c r="G2" s="25"/>
    </row>
    <row r="4" customFormat="false" ht="15" hidden="false" customHeight="false" outlineLevel="0" collapsed="false">
      <c r="A4" s="39" t="s">
        <v>1117</v>
      </c>
      <c r="B4" s="39"/>
      <c r="C4" s="39"/>
      <c r="D4" s="39"/>
      <c r="E4" s="39"/>
      <c r="F4" s="39"/>
      <c r="G4" s="39"/>
    </row>
    <row r="5" customFormat="false" ht="35.05" hidden="false" customHeight="false" outlineLevel="0" collapsed="false">
      <c r="A5" s="26" t="s">
        <v>1118</v>
      </c>
      <c r="B5" s="26" t="s">
        <v>1119</v>
      </c>
      <c r="C5" s="26" t="s">
        <v>1120</v>
      </c>
      <c r="D5" s="26" t="s">
        <v>1121</v>
      </c>
      <c r="E5" s="26" t="s">
        <v>1122</v>
      </c>
      <c r="F5" s="26" t="s">
        <v>1123</v>
      </c>
      <c r="G5" s="26" t="s">
        <v>1124</v>
      </c>
    </row>
    <row r="6" customFormat="false" ht="15" hidden="false" customHeight="false" outlineLevel="0" collapsed="false">
      <c r="A6" s="28" t="n">
        <v>1</v>
      </c>
      <c r="B6" s="29" t="s">
        <v>1125</v>
      </c>
      <c r="C6" s="40" t="n">
        <v>3000</v>
      </c>
      <c r="D6" s="40" t="n">
        <v>15000</v>
      </c>
      <c r="E6" s="40" t="n">
        <v>45000</v>
      </c>
      <c r="F6" s="29" t="s">
        <v>1126</v>
      </c>
      <c r="G6" s="41" t="s">
        <v>1127</v>
      </c>
    </row>
    <row r="7" customFormat="false" ht="15" hidden="false" customHeight="false" outlineLevel="0" collapsed="false">
      <c r="A7" s="28" t="n">
        <v>2</v>
      </c>
      <c r="B7" s="29" t="s">
        <v>1128</v>
      </c>
      <c r="C7" s="40" t="n">
        <v>1500</v>
      </c>
      <c r="D7" s="40" t="n">
        <v>6000</v>
      </c>
      <c r="E7" s="40" t="n">
        <v>25000</v>
      </c>
      <c r="F7" s="29" t="s">
        <v>1129</v>
      </c>
      <c r="G7" s="42" t="s">
        <v>1130</v>
      </c>
    </row>
    <row r="8" customFormat="false" ht="15" hidden="false" customHeight="false" outlineLevel="0" collapsed="false">
      <c r="A8" s="28" t="n">
        <v>3</v>
      </c>
      <c r="B8" s="29" t="s">
        <v>1131</v>
      </c>
      <c r="C8" s="40" t="n">
        <v>2500</v>
      </c>
      <c r="D8" s="40" t="n">
        <v>6000</v>
      </c>
      <c r="E8" s="40" t="n">
        <v>15000</v>
      </c>
      <c r="F8" s="29" t="s">
        <v>1132</v>
      </c>
      <c r="G8" s="42" t="s">
        <v>1133</v>
      </c>
    </row>
    <row r="9" customFormat="false" ht="15" hidden="false" customHeight="false" outlineLevel="0" collapsed="false">
      <c r="A9" s="28" t="n">
        <v>4</v>
      </c>
      <c r="B9" s="29" t="s">
        <v>1134</v>
      </c>
      <c r="C9" s="40" t="n">
        <v>45000</v>
      </c>
      <c r="D9" s="40" t="n">
        <v>90000</v>
      </c>
      <c r="E9" s="40" t="n">
        <v>250000</v>
      </c>
      <c r="F9" s="29" t="s">
        <v>1135</v>
      </c>
      <c r="G9" s="42" t="s">
        <v>1136</v>
      </c>
    </row>
    <row r="10" customFormat="false" ht="19.4" hidden="false" customHeight="false" outlineLevel="0" collapsed="false">
      <c r="A10" s="28" t="n">
        <v>5</v>
      </c>
      <c r="B10" s="29" t="s">
        <v>1137</v>
      </c>
      <c r="C10" s="40" t="n">
        <v>0</v>
      </c>
      <c r="D10" s="40" t="n">
        <v>25000</v>
      </c>
      <c r="E10" s="40" t="n">
        <v>120000</v>
      </c>
      <c r="F10" s="29" t="s">
        <v>1138</v>
      </c>
      <c r="G10" s="42" t="s">
        <v>1139</v>
      </c>
    </row>
    <row r="11" customFormat="false" ht="15" hidden="false" customHeight="false" outlineLevel="0" collapsed="false">
      <c r="A11" s="43"/>
      <c r="B11" s="44" t="s">
        <v>1140</v>
      </c>
      <c r="C11" s="45" t="n">
        <f aca="false">SUM(C6:C10)</f>
        <v>52000</v>
      </c>
      <c r="D11" s="45" t="n">
        <f aca="false">SUM(D6:D10)</f>
        <v>142000</v>
      </c>
      <c r="E11" s="45" t="n">
        <f aca="false">SUM(E6:E10)</f>
        <v>455000</v>
      </c>
      <c r="F11" s="43"/>
      <c r="G11" s="43"/>
    </row>
    <row r="13" customFormat="false" ht="15" hidden="false" customHeight="false" outlineLevel="0" collapsed="false">
      <c r="A13" s="39" t="s">
        <v>1141</v>
      </c>
      <c r="B13" s="39"/>
      <c r="C13" s="39"/>
      <c r="D13" s="39"/>
      <c r="E13" s="39"/>
      <c r="F13" s="39"/>
      <c r="G13" s="39"/>
    </row>
    <row r="14" customFormat="false" ht="35.05" hidden="false" customHeight="false" outlineLevel="0" collapsed="false">
      <c r="A14" s="26" t="s">
        <v>1118</v>
      </c>
      <c r="B14" s="26" t="s">
        <v>1119</v>
      </c>
      <c r="C14" s="26" t="s">
        <v>1120</v>
      </c>
      <c r="D14" s="26" t="s">
        <v>1121</v>
      </c>
      <c r="E14" s="26" t="s">
        <v>1122</v>
      </c>
      <c r="F14" s="26" t="s">
        <v>1123</v>
      </c>
      <c r="G14" s="26" t="s">
        <v>1124</v>
      </c>
    </row>
    <row r="15" customFormat="false" ht="20.85" hidden="false" customHeight="false" outlineLevel="0" collapsed="false">
      <c r="A15" s="28" t="n">
        <v>1</v>
      </c>
      <c r="B15" s="29" t="s">
        <v>1142</v>
      </c>
      <c r="C15" s="40" t="n">
        <v>2500</v>
      </c>
      <c r="D15" s="40" t="n">
        <v>8000</v>
      </c>
      <c r="E15" s="40" t="n">
        <v>35000</v>
      </c>
      <c r="F15" s="29" t="s">
        <v>1143</v>
      </c>
      <c r="G15" s="41" t="s">
        <v>1144</v>
      </c>
    </row>
    <row r="16" customFormat="false" ht="15" hidden="false" customHeight="false" outlineLevel="0" collapsed="false">
      <c r="A16" s="28" t="n">
        <v>2</v>
      </c>
      <c r="B16" s="29" t="s">
        <v>1145</v>
      </c>
      <c r="C16" s="40" t="n">
        <v>12000</v>
      </c>
      <c r="D16" s="40" t="n">
        <v>45000</v>
      </c>
      <c r="E16" s="40" t="n">
        <v>150000</v>
      </c>
      <c r="F16" s="29" t="s">
        <v>1146</v>
      </c>
      <c r="G16" s="42" t="s">
        <v>1147</v>
      </c>
    </row>
    <row r="17" customFormat="false" ht="15" hidden="false" customHeight="false" outlineLevel="0" collapsed="false">
      <c r="A17" s="28" t="n">
        <v>3</v>
      </c>
      <c r="B17" s="29" t="s">
        <v>1148</v>
      </c>
      <c r="C17" s="40" t="n">
        <v>0</v>
      </c>
      <c r="D17" s="40" t="n">
        <v>5090</v>
      </c>
      <c r="E17" s="40" t="n">
        <v>25000</v>
      </c>
      <c r="F17" s="29" t="s">
        <v>1149</v>
      </c>
      <c r="G17" s="41" t="s">
        <v>1150</v>
      </c>
    </row>
    <row r="18" customFormat="false" ht="15" hidden="false" customHeight="false" outlineLevel="0" collapsed="false">
      <c r="A18" s="28" t="n">
        <v>4</v>
      </c>
      <c r="B18" s="29" t="s">
        <v>1151</v>
      </c>
      <c r="C18" s="40" t="n">
        <v>3000</v>
      </c>
      <c r="D18" s="40" t="n">
        <v>8000</v>
      </c>
      <c r="E18" s="40" t="n">
        <v>20000</v>
      </c>
      <c r="F18" s="29" t="s">
        <v>1152</v>
      </c>
      <c r="G18" s="42" t="s">
        <v>1153</v>
      </c>
    </row>
    <row r="19" customFormat="false" ht="15" hidden="false" customHeight="false" outlineLevel="0" collapsed="false">
      <c r="A19" s="43"/>
      <c r="B19" s="44" t="s">
        <v>1140</v>
      </c>
      <c r="C19" s="45" t="n">
        <f aca="false">SUM(C15:C18)</f>
        <v>17500</v>
      </c>
      <c r="D19" s="45" t="n">
        <f aca="false">SUM(D15:D18)</f>
        <v>66090</v>
      </c>
      <c r="E19" s="45" t="n">
        <f aca="false">SUM(E15:E18)</f>
        <v>230000</v>
      </c>
      <c r="F19" s="43"/>
      <c r="G19" s="43"/>
    </row>
    <row r="21" customFormat="false" ht="15" hidden="false" customHeight="false" outlineLevel="0" collapsed="false">
      <c r="A21" s="39" t="s">
        <v>1154</v>
      </c>
      <c r="B21" s="39"/>
      <c r="C21" s="39"/>
      <c r="D21" s="39"/>
      <c r="E21" s="39"/>
      <c r="F21" s="39"/>
      <c r="G21" s="39"/>
    </row>
    <row r="22" customFormat="false" ht="35.05" hidden="false" customHeight="false" outlineLevel="0" collapsed="false">
      <c r="A22" s="26" t="s">
        <v>1118</v>
      </c>
      <c r="B22" s="26" t="s">
        <v>1119</v>
      </c>
      <c r="C22" s="26" t="s">
        <v>1120</v>
      </c>
      <c r="D22" s="26" t="s">
        <v>1121</v>
      </c>
      <c r="E22" s="26" t="s">
        <v>1122</v>
      </c>
      <c r="F22" s="26" t="s">
        <v>1123</v>
      </c>
      <c r="G22" s="26" t="s">
        <v>1124</v>
      </c>
    </row>
    <row r="23" customFormat="false" ht="15" hidden="false" customHeight="false" outlineLevel="0" collapsed="false">
      <c r="A23" s="28" t="n">
        <v>1</v>
      </c>
      <c r="B23" s="29" t="s">
        <v>1155</v>
      </c>
      <c r="C23" s="40" t="n">
        <v>8000</v>
      </c>
      <c r="D23" s="40" t="n">
        <v>35000</v>
      </c>
      <c r="E23" s="40" t="n">
        <v>150000</v>
      </c>
      <c r="F23" s="29" t="s">
        <v>1156</v>
      </c>
      <c r="G23" s="42" t="s">
        <v>1157</v>
      </c>
    </row>
    <row r="24" customFormat="false" ht="15" hidden="false" customHeight="false" outlineLevel="0" collapsed="false">
      <c r="A24" s="28" t="n">
        <v>2</v>
      </c>
      <c r="B24" s="29" t="s">
        <v>1158</v>
      </c>
      <c r="C24" s="40" t="n">
        <v>350</v>
      </c>
      <c r="D24" s="40" t="n">
        <v>900</v>
      </c>
      <c r="E24" s="40" t="n">
        <v>2500</v>
      </c>
      <c r="F24" s="29" t="s">
        <v>1159</v>
      </c>
      <c r="G24" s="42" t="s">
        <v>1160</v>
      </c>
    </row>
    <row r="25" customFormat="false" ht="15" hidden="false" customHeight="false" outlineLevel="0" collapsed="false">
      <c r="A25" s="28" t="n">
        <v>3</v>
      </c>
      <c r="B25" s="29" t="s">
        <v>1161</v>
      </c>
      <c r="C25" s="40" t="n">
        <v>700</v>
      </c>
      <c r="D25" s="40" t="n">
        <v>2000</v>
      </c>
      <c r="E25" s="40" t="n">
        <v>6000</v>
      </c>
      <c r="F25" s="29" t="s">
        <v>1162</v>
      </c>
      <c r="G25" s="42" t="s">
        <v>1163</v>
      </c>
    </row>
    <row r="26" customFormat="false" ht="15" hidden="false" customHeight="false" outlineLevel="0" collapsed="false">
      <c r="A26" s="28" t="n">
        <v>4</v>
      </c>
      <c r="B26" s="29" t="s">
        <v>1164</v>
      </c>
      <c r="C26" s="40" t="n">
        <v>5000</v>
      </c>
      <c r="D26" s="40" t="n">
        <v>20000</v>
      </c>
      <c r="E26" s="40" t="n">
        <v>80000</v>
      </c>
      <c r="F26" s="29" t="s">
        <v>1162</v>
      </c>
      <c r="G26" s="42" t="s">
        <v>1165</v>
      </c>
    </row>
    <row r="27" customFormat="false" ht="15" hidden="false" customHeight="false" outlineLevel="0" collapsed="false">
      <c r="A27" s="43"/>
      <c r="B27" s="44" t="s">
        <v>1140</v>
      </c>
      <c r="C27" s="45" t="n">
        <f aca="false">SUM(C23:C26)</f>
        <v>14050</v>
      </c>
      <c r="D27" s="45" t="n">
        <f aca="false">SUM(D23:D26)</f>
        <v>57900</v>
      </c>
      <c r="E27" s="45" t="n">
        <f aca="false">SUM(E23:E26)</f>
        <v>238500</v>
      </c>
      <c r="F27" s="43"/>
      <c r="G27" s="43"/>
    </row>
    <row r="29" customFormat="false" ht="15" hidden="false" customHeight="false" outlineLevel="0" collapsed="false">
      <c r="A29" s="39" t="s">
        <v>1166</v>
      </c>
      <c r="B29" s="39"/>
      <c r="C29" s="39"/>
      <c r="D29" s="39"/>
      <c r="E29" s="39"/>
      <c r="F29" s="39"/>
      <c r="G29" s="39"/>
    </row>
    <row r="30" customFormat="false" ht="35.05" hidden="false" customHeight="false" outlineLevel="0" collapsed="false">
      <c r="A30" s="26" t="s">
        <v>1118</v>
      </c>
      <c r="B30" s="26" t="s">
        <v>1119</v>
      </c>
      <c r="C30" s="26" t="s">
        <v>1120</v>
      </c>
      <c r="D30" s="26" t="s">
        <v>1121</v>
      </c>
      <c r="E30" s="26" t="s">
        <v>1122</v>
      </c>
      <c r="F30" s="26" t="s">
        <v>1123</v>
      </c>
      <c r="G30" s="26" t="s">
        <v>1124</v>
      </c>
    </row>
    <row r="31" customFormat="false" ht="15" hidden="false" customHeight="false" outlineLevel="0" collapsed="false">
      <c r="A31" s="28" t="n">
        <v>1</v>
      </c>
      <c r="B31" s="29" t="s">
        <v>1167</v>
      </c>
      <c r="C31" s="40" t="n">
        <v>3875</v>
      </c>
      <c r="D31" s="40" t="n">
        <v>12000</v>
      </c>
      <c r="E31" s="40" t="n">
        <v>45000</v>
      </c>
      <c r="F31" s="29" t="s">
        <v>1168</v>
      </c>
      <c r="G31" s="41" t="s">
        <v>1169</v>
      </c>
    </row>
    <row r="32" customFormat="false" ht="19.4" hidden="false" customHeight="false" outlineLevel="0" collapsed="false">
      <c r="A32" s="28" t="n">
        <v>2</v>
      </c>
      <c r="B32" s="29" t="s">
        <v>1170</v>
      </c>
      <c r="C32" s="40" t="n">
        <v>415</v>
      </c>
      <c r="D32" s="40" t="n">
        <v>1153</v>
      </c>
      <c r="E32" s="40" t="n">
        <v>3500</v>
      </c>
      <c r="F32" s="29" t="s">
        <v>1171</v>
      </c>
      <c r="G32" s="41" t="s">
        <v>1172</v>
      </c>
    </row>
    <row r="33" customFormat="false" ht="15" hidden="false" customHeight="false" outlineLevel="0" collapsed="false">
      <c r="A33" s="28" t="n">
        <v>3</v>
      </c>
      <c r="B33" s="29" t="s">
        <v>1173</v>
      </c>
      <c r="C33" s="40" t="n">
        <v>150</v>
      </c>
      <c r="D33" s="40" t="n">
        <v>400</v>
      </c>
      <c r="E33" s="40" t="n">
        <v>1200</v>
      </c>
      <c r="F33" s="29" t="s">
        <v>1174</v>
      </c>
      <c r="G33" s="42" t="s">
        <v>1175</v>
      </c>
    </row>
    <row r="34" customFormat="false" ht="19.4" hidden="false" customHeight="false" outlineLevel="0" collapsed="false">
      <c r="A34" s="28" t="n">
        <v>4</v>
      </c>
      <c r="B34" s="29" t="s">
        <v>1176</v>
      </c>
      <c r="C34" s="40" t="n">
        <v>3450</v>
      </c>
      <c r="D34" s="29"/>
      <c r="E34" s="29"/>
      <c r="F34" s="29" t="s">
        <v>1177</v>
      </c>
      <c r="G34" s="41" t="s">
        <v>1178</v>
      </c>
    </row>
    <row r="35" customFormat="false" ht="15" hidden="false" customHeight="false" outlineLevel="0" collapsed="false">
      <c r="A35" s="43"/>
      <c r="B35" s="44" t="s">
        <v>1140</v>
      </c>
      <c r="C35" s="45" t="n">
        <f aca="false">SUM(C31:C34)</f>
        <v>7890</v>
      </c>
      <c r="D35" s="45" t="n">
        <f aca="false">SUM(D31:D34)</f>
        <v>13553</v>
      </c>
      <c r="E35" s="45" t="n">
        <f aca="false">SUM(E31:E34)</f>
        <v>49700</v>
      </c>
      <c r="F35" s="43"/>
      <c r="G35" s="43"/>
    </row>
    <row r="37" customFormat="false" ht="15" hidden="false" customHeight="false" outlineLevel="0" collapsed="false">
      <c r="A37" s="39" t="s">
        <v>1179</v>
      </c>
      <c r="B37" s="39"/>
      <c r="C37" s="39"/>
      <c r="D37" s="39"/>
      <c r="E37" s="39"/>
      <c r="F37" s="39"/>
      <c r="G37" s="39"/>
    </row>
    <row r="38" customFormat="false" ht="35.05" hidden="false" customHeight="false" outlineLevel="0" collapsed="false">
      <c r="A38" s="26" t="s">
        <v>1118</v>
      </c>
      <c r="B38" s="26" t="s">
        <v>1119</v>
      </c>
      <c r="C38" s="26" t="s">
        <v>1120</v>
      </c>
      <c r="D38" s="26" t="s">
        <v>1121</v>
      </c>
      <c r="E38" s="26" t="s">
        <v>1122</v>
      </c>
      <c r="F38" s="26" t="s">
        <v>1123</v>
      </c>
      <c r="G38" s="26" t="s">
        <v>1124</v>
      </c>
    </row>
    <row r="39" customFormat="false" ht="15" hidden="false" customHeight="false" outlineLevel="0" collapsed="false">
      <c r="A39" s="28" t="n">
        <v>1</v>
      </c>
      <c r="B39" s="29" t="s">
        <v>1180</v>
      </c>
      <c r="C39" s="40" t="n">
        <v>15000</v>
      </c>
      <c r="D39" s="40" t="n">
        <v>35000</v>
      </c>
      <c r="E39" s="40" t="n">
        <v>90000</v>
      </c>
      <c r="F39" s="29" t="s">
        <v>1181</v>
      </c>
      <c r="G39" s="42" t="s">
        <v>1182</v>
      </c>
    </row>
    <row r="40" customFormat="false" ht="15" hidden="false" customHeight="false" outlineLevel="0" collapsed="false">
      <c r="A40" s="28" t="n">
        <v>2</v>
      </c>
      <c r="B40" s="29" t="s">
        <v>1183</v>
      </c>
      <c r="C40" s="40" t="n">
        <v>8000</v>
      </c>
      <c r="D40" s="40" t="n">
        <v>20000</v>
      </c>
      <c r="E40" s="40" t="n">
        <v>60000</v>
      </c>
      <c r="F40" s="29" t="s">
        <v>1184</v>
      </c>
      <c r="G40" s="42" t="s">
        <v>1185</v>
      </c>
    </row>
    <row r="41" customFormat="false" ht="20.85" hidden="false" customHeight="false" outlineLevel="0" collapsed="false">
      <c r="A41" s="28" t="n">
        <v>3</v>
      </c>
      <c r="B41" s="29" t="s">
        <v>1186</v>
      </c>
      <c r="C41" s="29"/>
      <c r="D41" s="29"/>
      <c r="E41" s="40" t="n">
        <v>600000</v>
      </c>
      <c r="F41" s="29" t="s">
        <v>1187</v>
      </c>
      <c r="G41" s="42" t="s">
        <v>1188</v>
      </c>
    </row>
    <row r="42" customFormat="false" ht="15" hidden="false" customHeight="false" outlineLevel="0" collapsed="false">
      <c r="A42" s="28" t="n">
        <v>4</v>
      </c>
      <c r="B42" s="29" t="s">
        <v>1189</v>
      </c>
      <c r="C42" s="40" t="n">
        <v>0</v>
      </c>
      <c r="D42" s="40" t="n">
        <v>15000</v>
      </c>
      <c r="E42" s="40" t="n">
        <v>60000</v>
      </c>
      <c r="F42" s="29" t="s">
        <v>1190</v>
      </c>
      <c r="G42" s="42" t="s">
        <v>1191</v>
      </c>
    </row>
    <row r="43" customFormat="false" ht="15" hidden="false" customHeight="false" outlineLevel="0" collapsed="false">
      <c r="A43" s="43"/>
      <c r="B43" s="44" t="s">
        <v>1140</v>
      </c>
      <c r="C43" s="45" t="n">
        <f aca="false">SUM(C39:C42)</f>
        <v>23000</v>
      </c>
      <c r="D43" s="45" t="n">
        <f aca="false">SUM(D39:D42)</f>
        <v>70000</v>
      </c>
      <c r="E43" s="45" t="n">
        <f aca="false">SUM(E39:E42)</f>
        <v>810000</v>
      </c>
      <c r="F43" s="43"/>
      <c r="G43" s="43"/>
    </row>
    <row r="45" customFormat="false" ht="15" hidden="false" customHeight="false" outlineLevel="0" collapsed="false">
      <c r="A45" s="39" t="s">
        <v>1192</v>
      </c>
      <c r="B45" s="39"/>
      <c r="C45" s="39"/>
      <c r="D45" s="39"/>
      <c r="E45" s="39"/>
      <c r="F45" s="39"/>
      <c r="G45" s="39"/>
    </row>
    <row r="46" customFormat="false" ht="35.05" hidden="false" customHeight="false" outlineLevel="0" collapsed="false">
      <c r="A46" s="26" t="s">
        <v>1118</v>
      </c>
      <c r="B46" s="26" t="s">
        <v>1119</v>
      </c>
      <c r="C46" s="26" t="s">
        <v>1120</v>
      </c>
      <c r="D46" s="26" t="s">
        <v>1121</v>
      </c>
      <c r="E46" s="26" t="s">
        <v>1122</v>
      </c>
      <c r="F46" s="26" t="s">
        <v>1123</v>
      </c>
      <c r="G46" s="26" t="s">
        <v>1124</v>
      </c>
    </row>
    <row r="47" customFormat="false" ht="15" hidden="false" customHeight="false" outlineLevel="0" collapsed="false">
      <c r="A47" s="28" t="n">
        <v>1</v>
      </c>
      <c r="B47" s="29" t="s">
        <v>1193</v>
      </c>
      <c r="C47" s="40" t="n">
        <v>50000</v>
      </c>
      <c r="D47" s="40" t="n">
        <v>200000</v>
      </c>
      <c r="E47" s="40" t="n">
        <v>800000</v>
      </c>
      <c r="F47" s="29" t="s">
        <v>1194</v>
      </c>
      <c r="G47" s="42" t="s">
        <v>1195</v>
      </c>
    </row>
    <row r="48" customFormat="false" ht="15" hidden="false" customHeight="false" outlineLevel="0" collapsed="false">
      <c r="A48" s="28" t="n">
        <v>2</v>
      </c>
      <c r="B48" s="29" t="s">
        <v>1196</v>
      </c>
      <c r="C48" s="40" t="n">
        <v>10000</v>
      </c>
      <c r="D48" s="40" t="n">
        <v>40000</v>
      </c>
      <c r="E48" s="40" t="n">
        <v>150000</v>
      </c>
      <c r="F48" s="29" t="s">
        <v>1197</v>
      </c>
      <c r="G48" s="42" t="s">
        <v>1198</v>
      </c>
    </row>
    <row r="49" customFormat="false" ht="15" hidden="false" customHeight="false" outlineLevel="0" collapsed="false">
      <c r="A49" s="43"/>
      <c r="B49" s="44" t="s">
        <v>1140</v>
      </c>
      <c r="C49" s="45" t="n">
        <f aca="false">SUM(C47:C48)</f>
        <v>60000</v>
      </c>
      <c r="D49" s="45" t="n">
        <f aca="false">SUM(D47:D48)</f>
        <v>240000</v>
      </c>
      <c r="E49" s="45" t="n">
        <f aca="false">SUM(E47:E48)</f>
        <v>950000</v>
      </c>
      <c r="F49" s="43"/>
      <c r="G49" s="43"/>
    </row>
    <row r="51" customFormat="false" ht="15" hidden="false" customHeight="false" outlineLevel="0" collapsed="false">
      <c r="A51" s="39" t="s">
        <v>1199</v>
      </c>
      <c r="B51" s="39"/>
      <c r="C51" s="39"/>
      <c r="D51" s="39"/>
      <c r="E51" s="39"/>
      <c r="F51" s="39"/>
      <c r="G51" s="39"/>
    </row>
    <row r="52" customFormat="false" ht="35.05" hidden="false" customHeight="false" outlineLevel="0" collapsed="false">
      <c r="A52" s="26" t="s">
        <v>1118</v>
      </c>
      <c r="B52" s="26" t="s">
        <v>1119</v>
      </c>
      <c r="C52" s="26" t="s">
        <v>1120</v>
      </c>
      <c r="D52" s="26" t="s">
        <v>1121</v>
      </c>
      <c r="E52" s="26" t="s">
        <v>1122</v>
      </c>
      <c r="F52" s="26" t="s">
        <v>1123</v>
      </c>
      <c r="G52" s="26" t="s">
        <v>1124</v>
      </c>
    </row>
    <row r="53" customFormat="false" ht="15" hidden="false" customHeight="false" outlineLevel="0" collapsed="false">
      <c r="A53" s="28" t="n">
        <v>1</v>
      </c>
      <c r="B53" s="29" t="s">
        <v>1200</v>
      </c>
      <c r="C53" s="40" t="n">
        <v>213000</v>
      </c>
      <c r="D53" s="29"/>
      <c r="E53" s="29"/>
      <c r="F53" s="29" t="s">
        <v>1201</v>
      </c>
      <c r="G53" s="41" t="s">
        <v>1202</v>
      </c>
    </row>
    <row r="54" customFormat="false" ht="15" hidden="false" customHeight="false" outlineLevel="0" collapsed="false">
      <c r="A54" s="28" t="n">
        <v>2</v>
      </c>
      <c r="B54" s="29" t="s">
        <v>1203</v>
      </c>
      <c r="C54" s="29"/>
      <c r="D54" s="40" t="n">
        <v>700000</v>
      </c>
      <c r="E54" s="29"/>
      <c r="F54" s="29" t="s">
        <v>1204</v>
      </c>
      <c r="G54" s="42" t="s">
        <v>1205</v>
      </c>
    </row>
    <row r="55" customFormat="false" ht="15" hidden="false" customHeight="false" outlineLevel="0" collapsed="false">
      <c r="A55" s="28" t="n">
        <v>3</v>
      </c>
      <c r="B55" s="29" t="s">
        <v>1206</v>
      </c>
      <c r="C55" s="29"/>
      <c r="D55" s="29"/>
      <c r="E55" s="40" t="n">
        <v>2500000</v>
      </c>
      <c r="F55" s="29" t="s">
        <v>1207</v>
      </c>
      <c r="G55" s="42" t="s">
        <v>1208</v>
      </c>
    </row>
    <row r="56" customFormat="false" ht="15" hidden="false" customHeight="false" outlineLevel="0" collapsed="false">
      <c r="A56" s="43"/>
      <c r="B56" s="44" t="s">
        <v>1140</v>
      </c>
      <c r="C56" s="45" t="n">
        <f aca="false">SUM(C53:C55)</f>
        <v>213000</v>
      </c>
      <c r="D56" s="45" t="n">
        <f aca="false">SUM(D53:D55)</f>
        <v>700000</v>
      </c>
      <c r="E56" s="45" t="n">
        <f aca="false">SUM(E53:E55)</f>
        <v>2500000</v>
      </c>
      <c r="F56" s="43"/>
      <c r="G56" s="43"/>
    </row>
    <row r="58" customFormat="false" ht="15" hidden="false" customHeight="false" outlineLevel="0" collapsed="false">
      <c r="A58" s="39" t="s">
        <v>1209</v>
      </c>
      <c r="B58" s="39"/>
      <c r="C58" s="39"/>
      <c r="D58" s="39"/>
      <c r="E58" s="39"/>
      <c r="F58" s="39"/>
      <c r="G58" s="39"/>
    </row>
    <row r="59" customFormat="false" ht="35.05" hidden="false" customHeight="false" outlineLevel="0" collapsed="false">
      <c r="A59" s="26" t="s">
        <v>1118</v>
      </c>
      <c r="B59" s="26" t="s">
        <v>1119</v>
      </c>
      <c r="C59" s="26" t="s">
        <v>1120</v>
      </c>
      <c r="D59" s="26" t="s">
        <v>1121</v>
      </c>
      <c r="E59" s="26" t="s">
        <v>1122</v>
      </c>
      <c r="F59" s="26" t="s">
        <v>1123</v>
      </c>
      <c r="G59" s="26" t="s">
        <v>1124</v>
      </c>
    </row>
    <row r="60" customFormat="false" ht="19.4" hidden="false" customHeight="false" outlineLevel="0" collapsed="false">
      <c r="A60" s="28" t="n">
        <v>1</v>
      </c>
      <c r="B60" s="29" t="s">
        <v>1210</v>
      </c>
      <c r="C60" s="40" t="n">
        <v>150000</v>
      </c>
      <c r="D60" s="29"/>
      <c r="E60" s="29"/>
      <c r="F60" s="29" t="s">
        <v>1211</v>
      </c>
      <c r="G60" s="41" t="s">
        <v>1212</v>
      </c>
    </row>
    <row r="61" customFormat="false" ht="15" hidden="false" customHeight="false" outlineLevel="0" collapsed="false">
      <c r="A61" s="28" t="n">
        <v>2</v>
      </c>
      <c r="B61" s="29" t="s">
        <v>1213</v>
      </c>
      <c r="C61" s="29"/>
      <c r="D61" s="40" t="n">
        <v>900000</v>
      </c>
      <c r="E61" s="29"/>
      <c r="F61" s="29" t="s">
        <v>1214</v>
      </c>
      <c r="G61" s="42" t="s">
        <v>1215</v>
      </c>
    </row>
    <row r="62" customFormat="false" ht="15" hidden="false" customHeight="false" outlineLevel="0" collapsed="false">
      <c r="A62" s="28" t="n">
        <v>3</v>
      </c>
      <c r="B62" s="29" t="s">
        <v>1216</v>
      </c>
      <c r="C62" s="29"/>
      <c r="D62" s="29"/>
      <c r="E62" s="40" t="n">
        <v>3000000</v>
      </c>
      <c r="F62" s="29" t="s">
        <v>1217</v>
      </c>
      <c r="G62" s="41" t="s">
        <v>1218</v>
      </c>
    </row>
    <row r="63" customFormat="false" ht="15" hidden="false" customHeight="false" outlineLevel="0" collapsed="false">
      <c r="A63" s="43"/>
      <c r="B63" s="44" t="s">
        <v>1140</v>
      </c>
      <c r="C63" s="45" t="n">
        <f aca="false">SUM(C60:C62)</f>
        <v>150000</v>
      </c>
      <c r="D63" s="45" t="n">
        <f aca="false">SUM(D60:D62)</f>
        <v>900000</v>
      </c>
      <c r="E63" s="45" t="n">
        <f aca="false">SUM(E60:E62)</f>
        <v>3000000</v>
      </c>
      <c r="F63" s="43"/>
      <c r="G63" s="43"/>
    </row>
    <row r="65" customFormat="false" ht="15" hidden="false" customHeight="false" outlineLevel="0" collapsed="false">
      <c r="A65" s="39" t="s">
        <v>1219</v>
      </c>
      <c r="B65" s="39"/>
      <c r="C65" s="39"/>
      <c r="D65" s="39"/>
      <c r="E65" s="39"/>
      <c r="F65" s="39"/>
      <c r="G65" s="39"/>
    </row>
    <row r="66" customFormat="false" ht="35.05" hidden="false" customHeight="false" outlineLevel="0" collapsed="false">
      <c r="A66" s="26" t="s">
        <v>1118</v>
      </c>
      <c r="B66" s="26" t="s">
        <v>1119</v>
      </c>
      <c r="C66" s="26" t="s">
        <v>1120</v>
      </c>
      <c r="D66" s="26" t="s">
        <v>1121</v>
      </c>
      <c r="E66" s="26" t="s">
        <v>1122</v>
      </c>
      <c r="F66" s="26" t="s">
        <v>1123</v>
      </c>
      <c r="G66" s="26" t="s">
        <v>1124</v>
      </c>
    </row>
    <row r="67" customFormat="false" ht="15" hidden="false" customHeight="false" outlineLevel="0" collapsed="false">
      <c r="A67" s="28" t="n">
        <v>1</v>
      </c>
      <c r="B67" s="29" t="s">
        <v>1220</v>
      </c>
      <c r="C67" s="40" t="n">
        <v>400000</v>
      </c>
      <c r="D67" s="29"/>
      <c r="E67" s="29"/>
      <c r="F67" s="29" t="s">
        <v>1221</v>
      </c>
      <c r="G67" s="42" t="s">
        <v>1222</v>
      </c>
    </row>
    <row r="68" customFormat="false" ht="15" hidden="false" customHeight="false" outlineLevel="0" collapsed="false">
      <c r="A68" s="28" t="n">
        <v>2</v>
      </c>
      <c r="B68" s="29" t="s">
        <v>1223</v>
      </c>
      <c r="C68" s="29"/>
      <c r="D68" s="40" t="n">
        <v>1200000</v>
      </c>
      <c r="E68" s="29"/>
      <c r="F68" s="29" t="s">
        <v>1224</v>
      </c>
      <c r="G68" s="42" t="s">
        <v>1225</v>
      </c>
    </row>
    <row r="69" customFormat="false" ht="15" hidden="false" customHeight="false" outlineLevel="0" collapsed="false">
      <c r="A69" s="28" t="n">
        <v>3</v>
      </c>
      <c r="B69" s="29" t="s">
        <v>1226</v>
      </c>
      <c r="C69" s="29"/>
      <c r="D69" s="29"/>
      <c r="E69" s="40" t="n">
        <v>3000000</v>
      </c>
      <c r="F69" s="29" t="s">
        <v>1227</v>
      </c>
      <c r="G69" s="42" t="s">
        <v>1228</v>
      </c>
    </row>
    <row r="70" customFormat="false" ht="15" hidden="false" customHeight="false" outlineLevel="0" collapsed="false">
      <c r="A70" s="43"/>
      <c r="B70" s="44" t="s">
        <v>1140</v>
      </c>
      <c r="C70" s="45" t="n">
        <f aca="false">SUM(C67:C69)</f>
        <v>400000</v>
      </c>
      <c r="D70" s="45" t="n">
        <f aca="false">SUM(D67:D69)</f>
        <v>1200000</v>
      </c>
      <c r="E70" s="45" t="n">
        <f aca="false">SUM(E67:E69)</f>
        <v>3000000</v>
      </c>
      <c r="F70" s="43"/>
      <c r="G70" s="43"/>
    </row>
    <row r="72" customFormat="false" ht="15" hidden="false" customHeight="false" outlineLevel="0" collapsed="false">
      <c r="A72" s="39" t="s">
        <v>1229</v>
      </c>
      <c r="B72" s="39"/>
      <c r="C72" s="39"/>
      <c r="D72" s="39"/>
      <c r="E72" s="39"/>
      <c r="F72" s="39"/>
      <c r="G72" s="39"/>
    </row>
    <row r="73" customFormat="false" ht="35.05" hidden="false" customHeight="false" outlineLevel="0" collapsed="false">
      <c r="A73" s="26" t="s">
        <v>1118</v>
      </c>
      <c r="B73" s="26" t="s">
        <v>1119</v>
      </c>
      <c r="C73" s="26" t="s">
        <v>1120</v>
      </c>
      <c r="D73" s="26" t="s">
        <v>1121</v>
      </c>
      <c r="E73" s="26" t="s">
        <v>1122</v>
      </c>
      <c r="F73" s="26" t="s">
        <v>1123</v>
      </c>
      <c r="G73" s="26" t="s">
        <v>1124</v>
      </c>
    </row>
    <row r="74" customFormat="false" ht="15" hidden="false" customHeight="false" outlineLevel="0" collapsed="false">
      <c r="A74" s="28" t="n">
        <v>1</v>
      </c>
      <c r="B74" s="29" t="s">
        <v>1230</v>
      </c>
      <c r="C74" s="40" t="n">
        <v>500000</v>
      </c>
      <c r="D74" s="29"/>
      <c r="E74" s="29"/>
      <c r="F74" s="29" t="s">
        <v>1231</v>
      </c>
      <c r="G74" s="42" t="s">
        <v>1225</v>
      </c>
    </row>
    <row r="75" customFormat="false" ht="15" hidden="false" customHeight="false" outlineLevel="0" collapsed="false">
      <c r="A75" s="28" t="n">
        <v>2</v>
      </c>
      <c r="B75" s="29" t="s">
        <v>1232</v>
      </c>
      <c r="C75" s="29"/>
      <c r="D75" s="40" t="n">
        <v>1500000</v>
      </c>
      <c r="E75" s="29"/>
      <c r="F75" s="29" t="s">
        <v>1233</v>
      </c>
      <c r="G75" s="42" t="s">
        <v>1234</v>
      </c>
    </row>
    <row r="76" customFormat="false" ht="15" hidden="false" customHeight="false" outlineLevel="0" collapsed="false">
      <c r="A76" s="28" t="n">
        <v>3</v>
      </c>
      <c r="B76" s="29" t="s">
        <v>1235</v>
      </c>
      <c r="C76" s="29"/>
      <c r="D76" s="29"/>
      <c r="E76" s="40" t="n">
        <v>5000000</v>
      </c>
      <c r="F76" s="29" t="s">
        <v>1236</v>
      </c>
      <c r="G76" s="42" t="s">
        <v>1237</v>
      </c>
    </row>
    <row r="77" customFormat="false" ht="15" hidden="false" customHeight="false" outlineLevel="0" collapsed="false">
      <c r="A77" s="43"/>
      <c r="B77" s="44" t="s">
        <v>1140</v>
      </c>
      <c r="C77" s="45" t="n">
        <f aca="false">SUM(C74:C76)</f>
        <v>500000</v>
      </c>
      <c r="D77" s="45" t="n">
        <f aca="false">SUM(D74:D76)</f>
        <v>1500000</v>
      </c>
      <c r="E77" s="45" t="n">
        <f aca="false">SUM(E74:E76)</f>
        <v>5000000</v>
      </c>
      <c r="F77" s="43"/>
      <c r="G77" s="43"/>
    </row>
    <row r="79" customFormat="false" ht="15" hidden="false" customHeight="false" outlineLevel="0" collapsed="false">
      <c r="A79" s="39" t="s">
        <v>1238</v>
      </c>
      <c r="B79" s="39"/>
      <c r="C79" s="39"/>
      <c r="D79" s="39"/>
      <c r="E79" s="39"/>
      <c r="F79" s="39"/>
      <c r="G79" s="39"/>
    </row>
    <row r="80" customFormat="false" ht="35.05" hidden="false" customHeight="false" outlineLevel="0" collapsed="false">
      <c r="A80" s="26" t="s">
        <v>1118</v>
      </c>
      <c r="B80" s="26" t="s">
        <v>1119</v>
      </c>
      <c r="C80" s="26" t="s">
        <v>1120</v>
      </c>
      <c r="D80" s="26" t="s">
        <v>1121</v>
      </c>
      <c r="E80" s="26" t="s">
        <v>1122</v>
      </c>
      <c r="F80" s="26" t="s">
        <v>1123</v>
      </c>
      <c r="G80" s="26" t="s">
        <v>1124</v>
      </c>
    </row>
    <row r="81" customFormat="false" ht="20.85" hidden="false" customHeight="false" outlineLevel="0" collapsed="false">
      <c r="A81" s="28" t="n">
        <v>1</v>
      </c>
      <c r="B81" s="29" t="s">
        <v>1239</v>
      </c>
      <c r="C81" s="40" t="n">
        <v>300000</v>
      </c>
      <c r="D81" s="29"/>
      <c r="E81" s="29"/>
      <c r="F81" s="29" t="s">
        <v>1240</v>
      </c>
      <c r="G81" s="41" t="s">
        <v>1241</v>
      </c>
    </row>
    <row r="82" customFormat="false" ht="15" hidden="false" customHeight="false" outlineLevel="0" collapsed="false">
      <c r="A82" s="28" t="n">
        <v>2</v>
      </c>
      <c r="B82" s="29" t="s">
        <v>1242</v>
      </c>
      <c r="C82" s="29"/>
      <c r="D82" s="40" t="n">
        <v>600000</v>
      </c>
      <c r="E82" s="29"/>
      <c r="F82" s="29" t="s">
        <v>1243</v>
      </c>
      <c r="G82" s="42" t="s">
        <v>1244</v>
      </c>
    </row>
    <row r="83" customFormat="false" ht="15" hidden="false" customHeight="false" outlineLevel="0" collapsed="false">
      <c r="A83" s="28" t="n">
        <v>3</v>
      </c>
      <c r="B83" s="29" t="s">
        <v>1245</v>
      </c>
      <c r="C83" s="29"/>
      <c r="D83" s="29"/>
      <c r="E83" s="40" t="n">
        <v>2000000</v>
      </c>
      <c r="F83" s="29" t="s">
        <v>1246</v>
      </c>
      <c r="G83" s="42" t="s">
        <v>1247</v>
      </c>
    </row>
    <row r="84" customFormat="false" ht="15" hidden="false" customHeight="false" outlineLevel="0" collapsed="false">
      <c r="A84" s="43"/>
      <c r="B84" s="44" t="s">
        <v>1140</v>
      </c>
      <c r="C84" s="45" t="n">
        <f aca="false">SUM(C81:C83)</f>
        <v>300000</v>
      </c>
      <c r="D84" s="45" t="n">
        <f aca="false">SUM(D81:D83)</f>
        <v>600000</v>
      </c>
      <c r="E84" s="45" t="n">
        <f aca="false">SUM(E81:E83)</f>
        <v>2000000</v>
      </c>
      <c r="F84" s="43"/>
      <c r="G84" s="43"/>
    </row>
    <row r="86" customFormat="false" ht="15" hidden="false" customHeight="false" outlineLevel="0" collapsed="false">
      <c r="A86" s="39" t="s">
        <v>1248</v>
      </c>
      <c r="B86" s="39"/>
      <c r="C86" s="39"/>
      <c r="D86" s="39"/>
      <c r="E86" s="39"/>
      <c r="F86" s="39"/>
      <c r="G86" s="39"/>
    </row>
    <row r="87" customFormat="false" ht="35.05" hidden="false" customHeight="false" outlineLevel="0" collapsed="false">
      <c r="A87" s="26" t="s">
        <v>1118</v>
      </c>
      <c r="B87" s="26" t="s">
        <v>1119</v>
      </c>
      <c r="C87" s="26" t="s">
        <v>1120</v>
      </c>
      <c r="D87" s="26" t="s">
        <v>1121</v>
      </c>
      <c r="E87" s="26" t="s">
        <v>1122</v>
      </c>
      <c r="F87" s="26" t="s">
        <v>1123</v>
      </c>
      <c r="G87" s="26" t="s">
        <v>1124</v>
      </c>
    </row>
    <row r="88" customFormat="false" ht="15" hidden="false" customHeight="false" outlineLevel="0" collapsed="false">
      <c r="A88" s="28" t="n">
        <v>1</v>
      </c>
      <c r="B88" s="29" t="s">
        <v>1249</v>
      </c>
      <c r="C88" s="40" t="n">
        <v>220000</v>
      </c>
      <c r="D88" s="29"/>
      <c r="E88" s="29"/>
      <c r="F88" s="29" t="s">
        <v>1250</v>
      </c>
      <c r="G88" s="41" t="s">
        <v>1251</v>
      </c>
    </row>
    <row r="89" customFormat="false" ht="15" hidden="false" customHeight="false" outlineLevel="0" collapsed="false">
      <c r="A89" s="28" t="n">
        <v>2</v>
      </c>
      <c r="B89" s="29" t="s">
        <v>1252</v>
      </c>
      <c r="C89" s="29"/>
      <c r="D89" s="40" t="n">
        <v>450000</v>
      </c>
      <c r="E89" s="29"/>
      <c r="F89" s="29" t="s">
        <v>1253</v>
      </c>
      <c r="G89" s="42" t="s">
        <v>1254</v>
      </c>
    </row>
    <row r="90" customFormat="false" ht="15" hidden="false" customHeight="false" outlineLevel="0" collapsed="false">
      <c r="A90" s="28" t="n">
        <v>3</v>
      </c>
      <c r="B90" s="29" t="s">
        <v>1255</v>
      </c>
      <c r="C90" s="29"/>
      <c r="D90" s="29"/>
      <c r="E90" s="40" t="n">
        <v>1500000</v>
      </c>
      <c r="F90" s="29" t="s">
        <v>1256</v>
      </c>
      <c r="G90" s="42" t="s">
        <v>1257</v>
      </c>
    </row>
    <row r="91" customFormat="false" ht="15" hidden="false" customHeight="false" outlineLevel="0" collapsed="false">
      <c r="A91" s="43"/>
      <c r="B91" s="44" t="s">
        <v>1140</v>
      </c>
      <c r="C91" s="45" t="n">
        <f aca="false">SUM(C88:C90)</f>
        <v>220000</v>
      </c>
      <c r="D91" s="45" t="n">
        <f aca="false">SUM(D88:D90)</f>
        <v>450000</v>
      </c>
      <c r="E91" s="45" t="n">
        <f aca="false">SUM(E88:E90)</f>
        <v>1500000</v>
      </c>
      <c r="F91" s="43"/>
      <c r="G91" s="43"/>
    </row>
    <row r="93" customFormat="false" ht="15" hidden="false" customHeight="false" outlineLevel="0" collapsed="false">
      <c r="A93" s="39" t="s">
        <v>1258</v>
      </c>
      <c r="B93" s="39"/>
      <c r="C93" s="39"/>
      <c r="D93" s="39"/>
      <c r="E93" s="39"/>
      <c r="F93" s="39"/>
      <c r="G93" s="39"/>
    </row>
    <row r="94" customFormat="false" ht="35.05" hidden="false" customHeight="false" outlineLevel="0" collapsed="false">
      <c r="A94" s="26" t="s">
        <v>1118</v>
      </c>
      <c r="B94" s="26" t="s">
        <v>1119</v>
      </c>
      <c r="C94" s="26" t="s">
        <v>1120</v>
      </c>
      <c r="D94" s="26" t="s">
        <v>1121</v>
      </c>
      <c r="E94" s="26" t="s">
        <v>1122</v>
      </c>
      <c r="F94" s="26" t="s">
        <v>1123</v>
      </c>
      <c r="G94" s="26" t="s">
        <v>1124</v>
      </c>
    </row>
    <row r="95" customFormat="false" ht="15" hidden="false" customHeight="false" outlineLevel="0" collapsed="false">
      <c r="A95" s="28" t="n">
        <v>1</v>
      </c>
      <c r="B95" s="29" t="s">
        <v>1259</v>
      </c>
      <c r="C95" s="40" t="n">
        <v>86250</v>
      </c>
      <c r="D95" s="29"/>
      <c r="E95" s="29"/>
      <c r="F95" s="29" t="s">
        <v>1260</v>
      </c>
      <c r="G95" s="41" t="s">
        <v>1261</v>
      </c>
    </row>
    <row r="96" customFormat="false" ht="15" hidden="false" customHeight="false" outlineLevel="0" collapsed="false">
      <c r="A96" s="28" t="n">
        <v>2</v>
      </c>
      <c r="B96" s="29" t="s">
        <v>1262</v>
      </c>
      <c r="C96" s="29"/>
      <c r="D96" s="40" t="n">
        <v>250000</v>
      </c>
      <c r="E96" s="29"/>
      <c r="F96" s="29" t="s">
        <v>1263</v>
      </c>
      <c r="G96" s="42" t="s">
        <v>1225</v>
      </c>
    </row>
    <row r="97" customFormat="false" ht="15" hidden="false" customHeight="false" outlineLevel="0" collapsed="false">
      <c r="A97" s="28" t="n">
        <v>3</v>
      </c>
      <c r="B97" s="29" t="s">
        <v>1264</v>
      </c>
      <c r="C97" s="29"/>
      <c r="D97" s="29"/>
      <c r="E97" s="40" t="n">
        <v>800000</v>
      </c>
      <c r="F97" s="29" t="s">
        <v>1265</v>
      </c>
      <c r="G97" s="42" t="s">
        <v>1225</v>
      </c>
    </row>
    <row r="98" customFormat="false" ht="15" hidden="false" customHeight="false" outlineLevel="0" collapsed="false">
      <c r="A98" s="43"/>
      <c r="B98" s="44" t="s">
        <v>1140</v>
      </c>
      <c r="C98" s="45" t="n">
        <f aca="false">SUM(C95:C97)</f>
        <v>86250</v>
      </c>
      <c r="D98" s="45" t="n">
        <f aca="false">SUM(D95:D97)</f>
        <v>250000</v>
      </c>
      <c r="E98" s="45" t="n">
        <f aca="false">SUM(E95:E97)</f>
        <v>800000</v>
      </c>
      <c r="F98" s="43"/>
      <c r="G98" s="43"/>
    </row>
    <row r="100" customFormat="false" ht="15" hidden="false" customHeight="false" outlineLevel="0" collapsed="false">
      <c r="A100" s="39" t="s">
        <v>1266</v>
      </c>
      <c r="B100" s="39"/>
      <c r="C100" s="39"/>
      <c r="D100" s="39"/>
      <c r="E100" s="39"/>
      <c r="F100" s="39"/>
      <c r="G100" s="39"/>
    </row>
    <row r="101" customFormat="false" ht="35.05" hidden="false" customHeight="false" outlineLevel="0" collapsed="false">
      <c r="A101" s="26" t="s">
        <v>1118</v>
      </c>
      <c r="B101" s="26" t="s">
        <v>1119</v>
      </c>
      <c r="C101" s="26" t="s">
        <v>1120</v>
      </c>
      <c r="D101" s="26" t="s">
        <v>1121</v>
      </c>
      <c r="E101" s="26" t="s">
        <v>1122</v>
      </c>
      <c r="F101" s="26" t="s">
        <v>1123</v>
      </c>
      <c r="G101" s="26" t="s">
        <v>1124</v>
      </c>
    </row>
    <row r="102" customFormat="false" ht="15" hidden="false" customHeight="false" outlineLevel="0" collapsed="false">
      <c r="A102" s="28" t="n">
        <v>1</v>
      </c>
      <c r="B102" s="29" t="s">
        <v>1267</v>
      </c>
      <c r="C102" s="40" t="n">
        <v>1850</v>
      </c>
      <c r="D102" s="29"/>
      <c r="E102" s="29"/>
      <c r="F102" s="29" t="s">
        <v>1268</v>
      </c>
      <c r="G102" s="41" t="s">
        <v>1269</v>
      </c>
    </row>
    <row r="103" customFormat="false" ht="15" hidden="false" customHeight="false" outlineLevel="0" collapsed="false">
      <c r="A103" s="28" t="n">
        <v>2</v>
      </c>
      <c r="B103" s="29" t="s">
        <v>1270</v>
      </c>
      <c r="C103" s="29"/>
      <c r="D103" s="40" t="n">
        <v>70000</v>
      </c>
      <c r="E103" s="29"/>
      <c r="F103" s="29" t="s">
        <v>1271</v>
      </c>
      <c r="G103" s="41" t="s">
        <v>1272</v>
      </c>
    </row>
    <row r="104" customFormat="false" ht="15" hidden="false" customHeight="false" outlineLevel="0" collapsed="false">
      <c r="A104" s="28" t="n">
        <v>3</v>
      </c>
      <c r="B104" s="29" t="s">
        <v>1273</v>
      </c>
      <c r="C104" s="29"/>
      <c r="D104" s="29"/>
      <c r="E104" s="40" t="n">
        <v>100000</v>
      </c>
      <c r="F104" s="29" t="s">
        <v>1274</v>
      </c>
      <c r="G104" s="41" t="s">
        <v>1275</v>
      </c>
    </row>
    <row r="105" customFormat="false" ht="15" hidden="false" customHeight="false" outlineLevel="0" collapsed="false">
      <c r="A105" s="43"/>
      <c r="B105" s="44" t="s">
        <v>1140</v>
      </c>
      <c r="C105" s="45" t="n">
        <f aca="false">SUM(C102:C104)</f>
        <v>1850</v>
      </c>
      <c r="D105" s="45" t="n">
        <f aca="false">SUM(D102:D104)</f>
        <v>70000</v>
      </c>
      <c r="E105" s="45" t="n">
        <f aca="false">SUM(E102:E104)</f>
        <v>100000</v>
      </c>
      <c r="F105" s="43"/>
      <c r="G105" s="43"/>
    </row>
    <row r="107" customFormat="false" ht="15" hidden="false" customHeight="false" outlineLevel="0" collapsed="false">
      <c r="A107" s="39" t="s">
        <v>1276</v>
      </c>
      <c r="B107" s="39"/>
      <c r="C107" s="39"/>
      <c r="D107" s="39"/>
      <c r="E107" s="39"/>
      <c r="F107" s="39"/>
      <c r="G107" s="39"/>
    </row>
    <row r="108" customFormat="false" ht="35.05" hidden="false" customHeight="false" outlineLevel="0" collapsed="false">
      <c r="A108" s="26" t="s">
        <v>1118</v>
      </c>
      <c r="B108" s="26" t="s">
        <v>1119</v>
      </c>
      <c r="C108" s="26" t="s">
        <v>1120</v>
      </c>
      <c r="D108" s="26" t="s">
        <v>1121</v>
      </c>
      <c r="E108" s="26" t="s">
        <v>1122</v>
      </c>
      <c r="F108" s="26" t="s">
        <v>1123</v>
      </c>
      <c r="G108" s="26" t="s">
        <v>1124</v>
      </c>
    </row>
    <row r="109" customFormat="false" ht="15" hidden="false" customHeight="false" outlineLevel="0" collapsed="false">
      <c r="A109" s="28" t="n">
        <v>1</v>
      </c>
      <c r="B109" s="29" t="s">
        <v>1277</v>
      </c>
      <c r="C109" s="40" t="n">
        <v>80000</v>
      </c>
      <c r="D109" s="29"/>
      <c r="E109" s="29"/>
      <c r="F109" s="29" t="s">
        <v>1278</v>
      </c>
      <c r="G109" s="42" t="s">
        <v>1279</v>
      </c>
    </row>
    <row r="110" customFormat="false" ht="20.85" hidden="false" customHeight="false" outlineLevel="0" collapsed="false">
      <c r="A110" s="28" t="n">
        <v>2</v>
      </c>
      <c r="B110" s="29" t="s">
        <v>1280</v>
      </c>
      <c r="C110" s="29"/>
      <c r="D110" s="40" t="n">
        <v>250000</v>
      </c>
      <c r="E110" s="29"/>
      <c r="F110" s="29" t="s">
        <v>1281</v>
      </c>
      <c r="G110" s="42" t="s">
        <v>1282</v>
      </c>
    </row>
    <row r="111" customFormat="false" ht="15" hidden="false" customHeight="false" outlineLevel="0" collapsed="false">
      <c r="A111" s="28" t="n">
        <v>3</v>
      </c>
      <c r="B111" s="29" t="s">
        <v>1283</v>
      </c>
      <c r="C111" s="29"/>
      <c r="D111" s="29"/>
      <c r="E111" s="40" t="n">
        <v>700000</v>
      </c>
      <c r="F111" s="29" t="s">
        <v>1284</v>
      </c>
      <c r="G111" s="42" t="s">
        <v>1285</v>
      </c>
    </row>
    <row r="112" customFormat="false" ht="15" hidden="false" customHeight="false" outlineLevel="0" collapsed="false">
      <c r="A112" s="43"/>
      <c r="B112" s="44" t="s">
        <v>1140</v>
      </c>
      <c r="C112" s="45" t="n">
        <f aca="false">SUM(C109:C111)</f>
        <v>80000</v>
      </c>
      <c r="D112" s="45" t="n">
        <f aca="false">SUM(D109:D111)</f>
        <v>250000</v>
      </c>
      <c r="E112" s="45" t="n">
        <f aca="false">SUM(E109:E111)</f>
        <v>700000</v>
      </c>
      <c r="F112" s="43"/>
      <c r="G112" s="43"/>
    </row>
    <row r="114" customFormat="false" ht="15" hidden="false" customHeight="false" outlineLevel="0" collapsed="false">
      <c r="A114" s="39" t="s">
        <v>1286</v>
      </c>
      <c r="B114" s="39"/>
      <c r="C114" s="39"/>
      <c r="D114" s="39"/>
      <c r="E114" s="39"/>
      <c r="F114" s="39"/>
      <c r="G114" s="39"/>
    </row>
    <row r="115" customFormat="false" ht="35.05" hidden="false" customHeight="false" outlineLevel="0" collapsed="false">
      <c r="A115" s="26" t="s">
        <v>1118</v>
      </c>
      <c r="B115" s="26" t="s">
        <v>1119</v>
      </c>
      <c r="C115" s="26" t="s">
        <v>1120</v>
      </c>
      <c r="D115" s="26" t="s">
        <v>1121</v>
      </c>
      <c r="E115" s="26" t="s">
        <v>1122</v>
      </c>
      <c r="F115" s="26" t="s">
        <v>1123</v>
      </c>
      <c r="G115" s="26" t="s">
        <v>1124</v>
      </c>
    </row>
    <row r="116" customFormat="false" ht="15" hidden="false" customHeight="false" outlineLevel="0" collapsed="false">
      <c r="A116" s="28" t="n">
        <v>1</v>
      </c>
      <c r="B116" s="29" t="s">
        <v>1287</v>
      </c>
      <c r="C116" s="40" t="n">
        <v>150000</v>
      </c>
      <c r="D116" s="29"/>
      <c r="E116" s="29"/>
      <c r="F116" s="29" t="s">
        <v>1288</v>
      </c>
      <c r="G116" s="42" t="s">
        <v>1289</v>
      </c>
    </row>
    <row r="117" customFormat="false" ht="20.85" hidden="false" customHeight="false" outlineLevel="0" collapsed="false">
      <c r="A117" s="28" t="n">
        <v>2</v>
      </c>
      <c r="B117" s="29" t="s">
        <v>1290</v>
      </c>
      <c r="C117" s="29"/>
      <c r="D117" s="40" t="n">
        <v>400000</v>
      </c>
      <c r="E117" s="29"/>
      <c r="F117" s="29" t="s">
        <v>1291</v>
      </c>
      <c r="G117" s="42" t="s">
        <v>1289</v>
      </c>
    </row>
    <row r="118" customFormat="false" ht="20.85" hidden="false" customHeight="false" outlineLevel="0" collapsed="false">
      <c r="A118" s="28" t="n">
        <v>3</v>
      </c>
      <c r="B118" s="29" t="s">
        <v>1292</v>
      </c>
      <c r="C118" s="29"/>
      <c r="D118" s="29"/>
      <c r="E118" s="40" t="n">
        <v>1200000</v>
      </c>
      <c r="F118" s="29" t="s">
        <v>1293</v>
      </c>
      <c r="G118" s="42" t="s">
        <v>1285</v>
      </c>
    </row>
    <row r="119" customFormat="false" ht="15" hidden="false" customHeight="false" outlineLevel="0" collapsed="false">
      <c r="A119" s="43"/>
      <c r="B119" s="44" t="s">
        <v>1140</v>
      </c>
      <c r="C119" s="45" t="n">
        <f aca="false">SUM(C116:C118)</f>
        <v>150000</v>
      </c>
      <c r="D119" s="45" t="n">
        <f aca="false">SUM(D116:D118)</f>
        <v>400000</v>
      </c>
      <c r="E119" s="45" t="n">
        <f aca="false">SUM(E116:E118)</f>
        <v>1200000</v>
      </c>
      <c r="F119" s="43"/>
      <c r="G119" s="43"/>
    </row>
    <row r="121" customFormat="false" ht="15" hidden="false" customHeight="false" outlineLevel="0" collapsed="false">
      <c r="A121" s="39" t="s">
        <v>1294</v>
      </c>
      <c r="B121" s="39"/>
      <c r="C121" s="39"/>
      <c r="D121" s="39"/>
      <c r="E121" s="39"/>
      <c r="F121" s="39"/>
      <c r="G121" s="39"/>
    </row>
    <row r="122" customFormat="false" ht="35.05" hidden="false" customHeight="false" outlineLevel="0" collapsed="false">
      <c r="A122" s="26" t="s">
        <v>1118</v>
      </c>
      <c r="B122" s="26" t="s">
        <v>1119</v>
      </c>
      <c r="C122" s="26" t="s">
        <v>1120</v>
      </c>
      <c r="D122" s="26" t="s">
        <v>1121</v>
      </c>
      <c r="E122" s="26" t="s">
        <v>1122</v>
      </c>
      <c r="F122" s="26" t="s">
        <v>1123</v>
      </c>
      <c r="G122" s="26" t="s">
        <v>1124</v>
      </c>
    </row>
    <row r="123" customFormat="false" ht="15" hidden="false" customHeight="false" outlineLevel="0" collapsed="false">
      <c r="A123" s="28" t="n">
        <v>1</v>
      </c>
      <c r="B123" s="29" t="s">
        <v>1295</v>
      </c>
      <c r="C123" s="40" t="n">
        <v>60000</v>
      </c>
      <c r="D123" s="29"/>
      <c r="E123" s="29"/>
      <c r="F123" s="29" t="s">
        <v>1288</v>
      </c>
      <c r="G123" s="42" t="s">
        <v>1296</v>
      </c>
    </row>
    <row r="124" customFormat="false" ht="15" hidden="false" customHeight="false" outlineLevel="0" collapsed="false">
      <c r="A124" s="28" t="n">
        <v>2</v>
      </c>
      <c r="B124" s="29" t="s">
        <v>1297</v>
      </c>
      <c r="C124" s="29"/>
      <c r="D124" s="40" t="n">
        <v>200000</v>
      </c>
      <c r="E124" s="29"/>
      <c r="F124" s="29" t="s">
        <v>1298</v>
      </c>
      <c r="G124" s="42" t="s">
        <v>1296</v>
      </c>
    </row>
    <row r="125" customFormat="false" ht="15" hidden="false" customHeight="false" outlineLevel="0" collapsed="false">
      <c r="A125" s="28" t="n">
        <v>3</v>
      </c>
      <c r="B125" s="29" t="s">
        <v>1299</v>
      </c>
      <c r="C125" s="29"/>
      <c r="D125" s="29"/>
      <c r="E125" s="40" t="n">
        <v>600000</v>
      </c>
      <c r="F125" s="29" t="s">
        <v>1300</v>
      </c>
      <c r="G125" s="42" t="s">
        <v>1285</v>
      </c>
    </row>
    <row r="126" customFormat="false" ht="15" hidden="false" customHeight="false" outlineLevel="0" collapsed="false">
      <c r="A126" s="43"/>
      <c r="B126" s="44" t="s">
        <v>1140</v>
      </c>
      <c r="C126" s="45" t="n">
        <f aca="false">SUM(C123:C125)</f>
        <v>60000</v>
      </c>
      <c r="D126" s="45" t="n">
        <f aca="false">SUM(D123:D125)</f>
        <v>200000</v>
      </c>
      <c r="E126" s="45" t="n">
        <f aca="false">SUM(E123:E125)</f>
        <v>600000</v>
      </c>
      <c r="F126" s="43"/>
      <c r="G126" s="43"/>
    </row>
    <row r="128" customFormat="false" ht="15" hidden="false" customHeight="false" outlineLevel="0" collapsed="false">
      <c r="A128" s="39" t="s">
        <v>1301</v>
      </c>
      <c r="B128" s="39"/>
      <c r="C128" s="39"/>
      <c r="D128" s="39"/>
      <c r="E128" s="39"/>
      <c r="F128" s="39"/>
      <c r="G128" s="39"/>
    </row>
    <row r="129" customFormat="false" ht="35.05" hidden="false" customHeight="false" outlineLevel="0" collapsed="false">
      <c r="A129" s="26" t="s">
        <v>1118</v>
      </c>
      <c r="B129" s="26" t="s">
        <v>1119</v>
      </c>
      <c r="C129" s="26" t="s">
        <v>1120</v>
      </c>
      <c r="D129" s="26" t="s">
        <v>1121</v>
      </c>
      <c r="E129" s="26" t="s">
        <v>1122</v>
      </c>
      <c r="F129" s="26" t="s">
        <v>1123</v>
      </c>
      <c r="G129" s="26" t="s">
        <v>1124</v>
      </c>
    </row>
    <row r="130" customFormat="false" ht="20.85" hidden="false" customHeight="false" outlineLevel="0" collapsed="false">
      <c r="A130" s="28" t="n">
        <v>1</v>
      </c>
      <c r="B130" s="29" t="s">
        <v>1302</v>
      </c>
      <c r="C130" s="40" t="n">
        <v>25000</v>
      </c>
      <c r="D130" s="29"/>
      <c r="E130" s="29"/>
      <c r="F130" s="29" t="s">
        <v>1303</v>
      </c>
      <c r="G130" s="41" t="s">
        <v>1304</v>
      </c>
    </row>
    <row r="131" customFormat="false" ht="15" hidden="false" customHeight="false" outlineLevel="0" collapsed="false">
      <c r="A131" s="28" t="n">
        <v>2</v>
      </c>
      <c r="B131" s="29" t="s">
        <v>1305</v>
      </c>
      <c r="C131" s="29"/>
      <c r="D131" s="40" t="n">
        <v>60000</v>
      </c>
      <c r="E131" s="29"/>
      <c r="F131" s="29" t="s">
        <v>1306</v>
      </c>
      <c r="G131" s="41" t="s">
        <v>1307</v>
      </c>
    </row>
    <row r="132" customFormat="false" ht="15" hidden="false" customHeight="false" outlineLevel="0" collapsed="false">
      <c r="A132" s="28" t="n">
        <v>3</v>
      </c>
      <c r="B132" s="29" t="s">
        <v>1308</v>
      </c>
      <c r="C132" s="29"/>
      <c r="D132" s="29"/>
      <c r="E132" s="40" t="n">
        <v>150000</v>
      </c>
      <c r="F132" s="29" t="s">
        <v>1309</v>
      </c>
      <c r="G132" s="42" t="s">
        <v>1310</v>
      </c>
    </row>
    <row r="133" customFormat="false" ht="15" hidden="false" customHeight="false" outlineLevel="0" collapsed="false">
      <c r="A133" s="43"/>
      <c r="B133" s="44" t="s">
        <v>1140</v>
      </c>
      <c r="C133" s="45" t="n">
        <f aca="false">SUM(C130:C132)</f>
        <v>25000</v>
      </c>
      <c r="D133" s="45" t="n">
        <f aca="false">SUM(D130:D132)</f>
        <v>60000</v>
      </c>
      <c r="E133" s="45" t="n">
        <f aca="false">SUM(E130:E132)</f>
        <v>150000</v>
      </c>
      <c r="F133" s="43"/>
      <c r="G133" s="43"/>
    </row>
    <row r="135" customFormat="false" ht="15" hidden="false" customHeight="false" outlineLevel="0" collapsed="false">
      <c r="A135" s="39" t="s">
        <v>1311</v>
      </c>
      <c r="B135" s="39"/>
      <c r="C135" s="39"/>
      <c r="D135" s="39"/>
      <c r="E135" s="39"/>
      <c r="F135" s="39"/>
      <c r="G135" s="39"/>
    </row>
    <row r="136" customFormat="false" ht="35.05" hidden="false" customHeight="false" outlineLevel="0" collapsed="false">
      <c r="A136" s="26" t="s">
        <v>1118</v>
      </c>
      <c r="B136" s="26" t="s">
        <v>1119</v>
      </c>
      <c r="C136" s="26" t="s">
        <v>1120</v>
      </c>
      <c r="D136" s="26" t="s">
        <v>1121</v>
      </c>
      <c r="E136" s="26" t="s">
        <v>1122</v>
      </c>
      <c r="F136" s="26" t="s">
        <v>1123</v>
      </c>
      <c r="G136" s="26" t="s">
        <v>1124</v>
      </c>
    </row>
    <row r="137" customFormat="false" ht="19.4" hidden="false" customHeight="false" outlineLevel="0" collapsed="false">
      <c r="A137" s="28" t="n">
        <v>1</v>
      </c>
      <c r="B137" s="29" t="s">
        <v>1312</v>
      </c>
      <c r="C137" s="40" t="n">
        <v>85000</v>
      </c>
      <c r="D137" s="29"/>
      <c r="E137" s="29"/>
      <c r="F137" s="29" t="s">
        <v>1313</v>
      </c>
      <c r="G137" s="41" t="s">
        <v>1314</v>
      </c>
    </row>
    <row r="138" customFormat="false" ht="19.4" hidden="false" customHeight="false" outlineLevel="0" collapsed="false">
      <c r="A138" s="28" t="n">
        <v>2</v>
      </c>
      <c r="B138" s="29" t="s">
        <v>1315</v>
      </c>
      <c r="C138" s="29"/>
      <c r="D138" s="40" t="n">
        <v>500000</v>
      </c>
      <c r="E138" s="29"/>
      <c r="F138" s="29" t="s">
        <v>1316</v>
      </c>
      <c r="G138" s="41" t="s">
        <v>1317</v>
      </c>
    </row>
    <row r="139" customFormat="false" ht="15" hidden="false" customHeight="false" outlineLevel="0" collapsed="false">
      <c r="A139" s="28" t="n">
        <v>3</v>
      </c>
      <c r="B139" s="29" t="s">
        <v>1318</v>
      </c>
      <c r="C139" s="29"/>
      <c r="D139" s="29"/>
      <c r="E139" s="40" t="n">
        <v>1500000</v>
      </c>
      <c r="F139" s="29" t="s">
        <v>1319</v>
      </c>
      <c r="G139" s="41" t="s">
        <v>1320</v>
      </c>
    </row>
    <row r="140" customFormat="false" ht="15" hidden="false" customHeight="false" outlineLevel="0" collapsed="false">
      <c r="A140" s="43"/>
      <c r="B140" s="44" t="s">
        <v>1140</v>
      </c>
      <c r="C140" s="45" t="n">
        <f aca="false">SUM(C137:C139)</f>
        <v>85000</v>
      </c>
      <c r="D140" s="45" t="n">
        <f aca="false">SUM(D137:D139)</f>
        <v>500000</v>
      </c>
      <c r="E140" s="45" t="n">
        <f aca="false">SUM(E137:E139)</f>
        <v>1500000</v>
      </c>
      <c r="F140" s="43"/>
      <c r="G140" s="43"/>
    </row>
    <row r="142" customFormat="false" ht="15" hidden="false" customHeight="false" outlineLevel="0" collapsed="false">
      <c r="A142" s="39" t="s">
        <v>1321</v>
      </c>
      <c r="B142" s="39"/>
      <c r="C142" s="39"/>
      <c r="D142" s="39"/>
      <c r="E142" s="39"/>
      <c r="F142" s="39"/>
      <c r="G142" s="39"/>
    </row>
    <row r="143" customFormat="false" ht="35.05" hidden="false" customHeight="false" outlineLevel="0" collapsed="false">
      <c r="A143" s="26" t="s">
        <v>1118</v>
      </c>
      <c r="B143" s="26" t="s">
        <v>1119</v>
      </c>
      <c r="C143" s="26" t="s">
        <v>1120</v>
      </c>
      <c r="D143" s="26" t="s">
        <v>1121</v>
      </c>
      <c r="E143" s="26" t="s">
        <v>1122</v>
      </c>
      <c r="F143" s="26" t="s">
        <v>1123</v>
      </c>
      <c r="G143" s="26" t="s">
        <v>1124</v>
      </c>
    </row>
    <row r="144" customFormat="false" ht="15" hidden="false" customHeight="false" outlineLevel="0" collapsed="false">
      <c r="A144" s="28" t="n">
        <v>1</v>
      </c>
      <c r="B144" s="29" t="s">
        <v>1322</v>
      </c>
      <c r="C144" s="40" t="n">
        <v>1500</v>
      </c>
      <c r="D144" s="29"/>
      <c r="E144" s="29"/>
      <c r="F144" s="29" t="s">
        <v>1323</v>
      </c>
      <c r="G144" s="42" t="s">
        <v>1324</v>
      </c>
    </row>
    <row r="145" customFormat="false" ht="15" hidden="false" customHeight="false" outlineLevel="0" collapsed="false">
      <c r="A145" s="28" t="n">
        <v>2</v>
      </c>
      <c r="B145" s="29" t="s">
        <v>1325</v>
      </c>
      <c r="C145" s="29"/>
      <c r="D145" s="40" t="n">
        <v>5000</v>
      </c>
      <c r="E145" s="29"/>
      <c r="F145" s="29" t="s">
        <v>1326</v>
      </c>
      <c r="G145" s="42" t="s">
        <v>1327</v>
      </c>
    </row>
    <row r="146" customFormat="false" ht="20.85" hidden="false" customHeight="false" outlineLevel="0" collapsed="false">
      <c r="A146" s="28" t="n">
        <v>3</v>
      </c>
      <c r="B146" s="29" t="s">
        <v>1328</v>
      </c>
      <c r="C146" s="29"/>
      <c r="D146" s="29"/>
      <c r="E146" s="40" t="n">
        <v>15000</v>
      </c>
      <c r="F146" s="29" t="s">
        <v>1329</v>
      </c>
      <c r="G146" s="42" t="s">
        <v>1330</v>
      </c>
    </row>
    <row r="147" customFormat="false" ht="15" hidden="false" customHeight="false" outlineLevel="0" collapsed="false">
      <c r="A147" s="43"/>
      <c r="B147" s="44" t="s">
        <v>1140</v>
      </c>
      <c r="C147" s="45" t="n">
        <f aca="false">SUM(C144:C146)</f>
        <v>1500</v>
      </c>
      <c r="D147" s="45" t="n">
        <f aca="false">SUM(D144:D146)</f>
        <v>5000</v>
      </c>
      <c r="E147" s="45" t="n">
        <f aca="false">SUM(E144:E146)</f>
        <v>15000</v>
      </c>
      <c r="F147" s="43"/>
      <c r="G147" s="43"/>
    </row>
    <row r="149" customFormat="false" ht="45" hidden="false" customHeight="true" outlineLevel="0" collapsed="false">
      <c r="A149" s="35" t="s">
        <v>1331</v>
      </c>
      <c r="B149" s="35"/>
      <c r="C149" s="35"/>
      <c r="D149" s="35"/>
      <c r="E149" s="35"/>
      <c r="F149" s="35"/>
      <c r="G149" s="35"/>
    </row>
  </sheetData>
  <mergeCells count="23">
    <mergeCell ref="A1:G1"/>
    <mergeCell ref="A2:G2"/>
    <mergeCell ref="A4:G4"/>
    <mergeCell ref="A13:G13"/>
    <mergeCell ref="A21:G21"/>
    <mergeCell ref="A29:G29"/>
    <mergeCell ref="A37:G37"/>
    <mergeCell ref="A45:G45"/>
    <mergeCell ref="A51:G51"/>
    <mergeCell ref="A58:G58"/>
    <mergeCell ref="A65:G65"/>
    <mergeCell ref="A72:G72"/>
    <mergeCell ref="A79:G79"/>
    <mergeCell ref="A86:G86"/>
    <mergeCell ref="A93:G93"/>
    <mergeCell ref="A100:G100"/>
    <mergeCell ref="A107:G107"/>
    <mergeCell ref="A114:G114"/>
    <mergeCell ref="A121:G121"/>
    <mergeCell ref="A128:G128"/>
    <mergeCell ref="A135:G135"/>
    <mergeCell ref="A142:G142"/>
    <mergeCell ref="A149:G1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2026-05-30T09:17:09Z</dcterms:created>
  <dc:creator>openpyxl</dc:creator>
  <dc:description/>
  <dc:language>en-US</dc:language>
  <cp:lastModifiedBy>Мандрица Игорь Владимирович</cp:lastModifiedBy>
  <dcterms:modified xsi:type="dcterms:W3CDTF">2026-07-11T09:39:47Z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